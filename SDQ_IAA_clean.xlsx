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2CA2C0CB-2499-4796-AA3D-997D19A33CF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sponses" sheetId="1" r:id="rId1"/>
    <sheet name="SDQ_Scores" sheetId="2" r:id="rId2"/>
    <sheet name="IAA_Scores" sheetId="3" r:id="rId3"/>
    <sheet name="Cutoff 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6" i="2" l="1"/>
  <c r="AQ6" i="2" s="1"/>
  <c r="AP7" i="2"/>
  <c r="AQ7" i="2" s="1"/>
  <c r="AP8" i="2"/>
  <c r="AQ8" i="2"/>
  <c r="AP9" i="2"/>
  <c r="AQ9" i="2"/>
  <c r="AP10" i="2"/>
  <c r="AQ10" i="2" s="1"/>
  <c r="AP11" i="2"/>
  <c r="AQ11" i="2"/>
  <c r="AP12" i="2"/>
  <c r="AQ12" i="2" s="1"/>
  <c r="AP13" i="2"/>
  <c r="AQ13" i="2" s="1"/>
  <c r="AP14" i="2"/>
  <c r="AQ14" i="2"/>
  <c r="AP15" i="2"/>
  <c r="AQ15" i="2"/>
  <c r="AP16" i="2"/>
  <c r="AQ16" i="2" s="1"/>
  <c r="AP17" i="2"/>
  <c r="AQ17" i="2"/>
  <c r="AP18" i="2"/>
  <c r="AQ18" i="2" s="1"/>
  <c r="AP19" i="2"/>
  <c r="AQ19" i="2" s="1"/>
  <c r="AP20" i="2"/>
  <c r="AQ20" i="2"/>
  <c r="AP21" i="2"/>
  <c r="AQ21" i="2"/>
  <c r="AP22" i="2"/>
  <c r="AQ22" i="2" s="1"/>
  <c r="AP23" i="2"/>
  <c r="AQ23" i="2"/>
  <c r="AP24" i="2"/>
  <c r="AQ24" i="2" s="1"/>
  <c r="AP25" i="2"/>
  <c r="AQ25" i="2" s="1"/>
  <c r="AP26" i="2"/>
  <c r="AQ26" i="2"/>
  <c r="AP27" i="2"/>
  <c r="AQ27" i="2"/>
  <c r="AP28" i="2"/>
  <c r="AQ28" i="2" s="1"/>
  <c r="AP29" i="2"/>
  <c r="AQ29" i="2"/>
  <c r="AP30" i="2"/>
  <c r="AQ30" i="2" s="1"/>
  <c r="AP31" i="2"/>
  <c r="AQ31" i="2" s="1"/>
  <c r="AP32" i="2"/>
  <c r="AQ32" i="2"/>
  <c r="AP33" i="2"/>
  <c r="AQ33" i="2"/>
  <c r="AP34" i="2"/>
  <c r="AQ34" i="2" s="1"/>
  <c r="AP35" i="2"/>
  <c r="AQ35" i="2"/>
  <c r="AP36" i="2"/>
  <c r="AQ36" i="2" s="1"/>
  <c r="AP37" i="2"/>
  <c r="AQ37" i="2" s="1"/>
  <c r="AP38" i="2"/>
  <c r="AQ38" i="2"/>
  <c r="AP39" i="2"/>
  <c r="AQ39" i="2"/>
  <c r="AP40" i="2"/>
  <c r="AQ40" i="2" s="1"/>
  <c r="AP41" i="2"/>
  <c r="AQ41" i="2"/>
  <c r="AP42" i="2"/>
  <c r="AQ42" i="2" s="1"/>
  <c r="AP43" i="2"/>
  <c r="AQ43" i="2" s="1"/>
  <c r="AP44" i="2"/>
  <c r="AQ44" i="2"/>
  <c r="AP45" i="2"/>
  <c r="AQ45" i="2"/>
  <c r="AP46" i="2"/>
  <c r="AQ46" i="2" s="1"/>
  <c r="AP47" i="2"/>
  <c r="AQ47" i="2"/>
  <c r="AP48" i="2"/>
  <c r="AQ48" i="2" s="1"/>
  <c r="AP49" i="2"/>
  <c r="AQ49" i="2" s="1"/>
  <c r="AP50" i="2"/>
  <c r="AQ50" i="2"/>
  <c r="AP51" i="2"/>
  <c r="AQ51" i="2"/>
  <c r="AP52" i="2"/>
  <c r="AQ52" i="2" s="1"/>
  <c r="AP53" i="2"/>
  <c r="AQ53" i="2"/>
  <c r="AP54" i="2"/>
  <c r="AQ54" i="2" s="1"/>
  <c r="AP55" i="2"/>
  <c r="AQ55" i="2" s="1"/>
  <c r="AP56" i="2"/>
  <c r="AQ56" i="2"/>
  <c r="AP57" i="2"/>
  <c r="AQ57" i="2"/>
  <c r="AP58" i="2"/>
  <c r="AQ58" i="2" s="1"/>
  <c r="AP59" i="2"/>
  <c r="AQ59" i="2"/>
  <c r="AP60" i="2"/>
  <c r="AQ60" i="2" s="1"/>
  <c r="AP61" i="2"/>
  <c r="AQ61" i="2" s="1"/>
  <c r="AP62" i="2"/>
  <c r="AQ62" i="2"/>
  <c r="AP63" i="2"/>
  <c r="AQ63" i="2"/>
  <c r="AP64" i="2"/>
  <c r="AQ64" i="2" s="1"/>
  <c r="AP65" i="2"/>
  <c r="AQ65" i="2"/>
  <c r="AP66" i="2"/>
  <c r="AQ66" i="2" s="1"/>
  <c r="AP67" i="2"/>
  <c r="AQ67" i="2" s="1"/>
  <c r="AP68" i="2"/>
  <c r="AQ68" i="2"/>
  <c r="AP69" i="2"/>
  <c r="AQ69" i="2"/>
  <c r="AP70" i="2"/>
  <c r="AQ70" i="2" s="1"/>
  <c r="AP71" i="2"/>
  <c r="AQ71" i="2"/>
  <c r="AP72" i="2"/>
  <c r="AQ72" i="2" s="1"/>
  <c r="AP73" i="2"/>
  <c r="AQ73" i="2" s="1"/>
  <c r="AP74" i="2"/>
  <c r="AQ74" i="2"/>
  <c r="AP75" i="2"/>
  <c r="AQ75" i="2"/>
  <c r="AP76" i="2"/>
  <c r="AQ76" i="2" s="1"/>
  <c r="AP77" i="2"/>
  <c r="AQ77" i="2"/>
  <c r="AP78" i="2"/>
  <c r="AQ78" i="2" s="1"/>
  <c r="AP79" i="2"/>
  <c r="AQ79" i="2" s="1"/>
  <c r="AP80" i="2"/>
  <c r="AQ80" i="2"/>
  <c r="AP81" i="2"/>
  <c r="AQ81" i="2"/>
  <c r="AP82" i="2"/>
  <c r="AQ82" i="2" s="1"/>
  <c r="AP83" i="2"/>
  <c r="AQ83" i="2"/>
  <c r="AP84" i="2"/>
  <c r="AQ84" i="2" s="1"/>
  <c r="AP85" i="2"/>
  <c r="AQ85" i="2" s="1"/>
  <c r="AP86" i="2"/>
  <c r="AQ86" i="2"/>
  <c r="AP87" i="2"/>
  <c r="AQ87" i="2"/>
  <c r="AP88" i="2"/>
  <c r="AQ88" i="2" s="1"/>
  <c r="AP89" i="2"/>
  <c r="AQ89" i="2"/>
  <c r="AP90" i="2"/>
  <c r="AQ90" i="2" s="1"/>
  <c r="AP91" i="2"/>
  <c r="AQ91" i="2" s="1"/>
  <c r="AP92" i="2"/>
  <c r="AQ92" i="2"/>
  <c r="AP93" i="2"/>
  <c r="AQ93" i="2"/>
  <c r="AP94" i="2"/>
  <c r="AQ94" i="2" s="1"/>
  <c r="AP95" i="2"/>
  <c r="AQ95" i="2"/>
  <c r="AP96" i="2"/>
  <c r="AQ96" i="2" s="1"/>
  <c r="AP97" i="2"/>
  <c r="AQ97" i="2" s="1"/>
  <c r="AP98" i="2"/>
  <c r="AQ98" i="2"/>
  <c r="AP99" i="2"/>
  <c r="AQ99" i="2"/>
  <c r="AP100" i="2"/>
  <c r="AQ100" i="2" s="1"/>
  <c r="AP101" i="2"/>
  <c r="AQ101" i="2"/>
  <c r="AP102" i="2"/>
  <c r="AQ102" i="2" s="1"/>
  <c r="AP103" i="2"/>
  <c r="AQ103" i="2" s="1"/>
  <c r="AP104" i="2"/>
  <c r="AQ104" i="2"/>
  <c r="AP105" i="2"/>
  <c r="AQ105" i="2"/>
  <c r="AP106" i="2"/>
  <c r="AQ106" i="2" s="1"/>
  <c r="AP107" i="2"/>
  <c r="AQ107" i="2"/>
  <c r="AP108" i="2"/>
  <c r="AQ108" i="2" s="1"/>
  <c r="AP109" i="2"/>
  <c r="AQ109" i="2" s="1"/>
  <c r="AP110" i="2"/>
  <c r="AQ110" i="2"/>
  <c r="AP111" i="2"/>
  <c r="AQ111" i="2"/>
  <c r="AP112" i="2"/>
  <c r="AQ112" i="2" s="1"/>
  <c r="AP113" i="2"/>
  <c r="AQ113" i="2"/>
  <c r="AP114" i="2"/>
  <c r="AQ114" i="2" s="1"/>
  <c r="AP115" i="2"/>
  <c r="AQ115" i="2" s="1"/>
  <c r="AP116" i="2"/>
  <c r="AQ116" i="2"/>
  <c r="AP117" i="2"/>
  <c r="AQ117" i="2"/>
  <c r="AP118" i="2"/>
  <c r="AQ118" i="2" s="1"/>
  <c r="AP119" i="2"/>
  <c r="AQ119" i="2"/>
  <c r="AP120" i="2"/>
  <c r="AQ120" i="2" s="1"/>
  <c r="AP121" i="2"/>
  <c r="AQ121" i="2" s="1"/>
  <c r="AP122" i="2"/>
  <c r="AQ122" i="2"/>
  <c r="AP123" i="2"/>
  <c r="AQ123" i="2"/>
  <c r="AP124" i="2"/>
  <c r="AQ124" i="2" s="1"/>
  <c r="AP125" i="2"/>
  <c r="AQ125" i="2"/>
  <c r="AP126" i="2"/>
  <c r="AQ126" i="2" s="1"/>
  <c r="AP127" i="2"/>
  <c r="AQ127" i="2" s="1"/>
  <c r="AP3" i="2"/>
  <c r="AQ3" i="2"/>
  <c r="AP4" i="2"/>
  <c r="AQ4" i="2" s="1"/>
  <c r="AP5" i="2"/>
  <c r="AQ5" i="2" s="1"/>
  <c r="AQ2" i="2"/>
  <c r="AP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2" i="2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E127" i="3"/>
  <c r="D127" i="3"/>
  <c r="C127" i="3"/>
  <c r="B127" i="3"/>
  <c r="A127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E126" i="3"/>
  <c r="D126" i="3"/>
  <c r="C126" i="3"/>
  <c r="B126" i="3"/>
  <c r="A126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E125" i="3"/>
  <c r="D125" i="3"/>
  <c r="C125" i="3"/>
  <c r="B125" i="3"/>
  <c r="A125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E124" i="3"/>
  <c r="D124" i="3"/>
  <c r="C124" i="3"/>
  <c r="B124" i="3"/>
  <c r="A124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E123" i="3"/>
  <c r="D123" i="3"/>
  <c r="C123" i="3"/>
  <c r="B123" i="3"/>
  <c r="A123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E122" i="3"/>
  <c r="D122" i="3"/>
  <c r="C122" i="3"/>
  <c r="B122" i="3"/>
  <c r="A122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E121" i="3"/>
  <c r="D121" i="3"/>
  <c r="C121" i="3"/>
  <c r="B121" i="3"/>
  <c r="A121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E120" i="3"/>
  <c r="D120" i="3"/>
  <c r="C120" i="3"/>
  <c r="B120" i="3"/>
  <c r="A120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E119" i="3"/>
  <c r="D119" i="3"/>
  <c r="C119" i="3"/>
  <c r="B119" i="3"/>
  <c r="A119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E118" i="3"/>
  <c r="D118" i="3"/>
  <c r="C118" i="3"/>
  <c r="B118" i="3"/>
  <c r="A118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E117" i="3"/>
  <c r="D117" i="3"/>
  <c r="C117" i="3"/>
  <c r="B117" i="3"/>
  <c r="A117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E116" i="3"/>
  <c r="D116" i="3"/>
  <c r="C116" i="3"/>
  <c r="B116" i="3"/>
  <c r="A116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E115" i="3"/>
  <c r="D115" i="3"/>
  <c r="C115" i="3"/>
  <c r="B115" i="3"/>
  <c r="A115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E114" i="3"/>
  <c r="D114" i="3"/>
  <c r="C114" i="3"/>
  <c r="B114" i="3"/>
  <c r="A114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E113" i="3"/>
  <c r="D113" i="3"/>
  <c r="C113" i="3"/>
  <c r="B113" i="3"/>
  <c r="A113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E112" i="3"/>
  <c r="D112" i="3"/>
  <c r="C112" i="3"/>
  <c r="B112" i="3"/>
  <c r="A112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E111" i="3"/>
  <c r="D111" i="3"/>
  <c r="C111" i="3"/>
  <c r="B111" i="3"/>
  <c r="A111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E110" i="3"/>
  <c r="D110" i="3"/>
  <c r="C110" i="3"/>
  <c r="B110" i="3"/>
  <c r="A110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E109" i="3"/>
  <c r="D109" i="3"/>
  <c r="C109" i="3"/>
  <c r="B109" i="3"/>
  <c r="A109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E108" i="3"/>
  <c r="D108" i="3"/>
  <c r="C108" i="3"/>
  <c r="B108" i="3"/>
  <c r="A108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E107" i="3"/>
  <c r="D107" i="3"/>
  <c r="C107" i="3"/>
  <c r="B107" i="3"/>
  <c r="A107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E106" i="3"/>
  <c r="D106" i="3"/>
  <c r="C106" i="3"/>
  <c r="B106" i="3"/>
  <c r="A106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E105" i="3"/>
  <c r="D105" i="3"/>
  <c r="C105" i="3"/>
  <c r="B105" i="3"/>
  <c r="A105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E104" i="3"/>
  <c r="D104" i="3"/>
  <c r="C104" i="3"/>
  <c r="B104" i="3"/>
  <c r="A104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E103" i="3"/>
  <c r="D103" i="3"/>
  <c r="C103" i="3"/>
  <c r="B103" i="3"/>
  <c r="A103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E102" i="3"/>
  <c r="D102" i="3"/>
  <c r="C102" i="3"/>
  <c r="B102" i="3"/>
  <c r="A102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E101" i="3"/>
  <c r="D101" i="3"/>
  <c r="C101" i="3"/>
  <c r="B101" i="3"/>
  <c r="A101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E100" i="3"/>
  <c r="D100" i="3"/>
  <c r="C100" i="3"/>
  <c r="B100" i="3"/>
  <c r="A100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E99" i="3"/>
  <c r="D99" i="3"/>
  <c r="C99" i="3"/>
  <c r="B99" i="3"/>
  <c r="A99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E98" i="3"/>
  <c r="D98" i="3"/>
  <c r="C98" i="3"/>
  <c r="B98" i="3"/>
  <c r="A98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E97" i="3"/>
  <c r="D97" i="3"/>
  <c r="C97" i="3"/>
  <c r="B97" i="3"/>
  <c r="A97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E96" i="3"/>
  <c r="D96" i="3"/>
  <c r="C96" i="3"/>
  <c r="B96" i="3"/>
  <c r="A96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E95" i="3"/>
  <c r="D95" i="3"/>
  <c r="C95" i="3"/>
  <c r="B95" i="3"/>
  <c r="A95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E94" i="3"/>
  <c r="D94" i="3"/>
  <c r="C94" i="3"/>
  <c r="B94" i="3"/>
  <c r="A94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E93" i="3"/>
  <c r="D93" i="3"/>
  <c r="C93" i="3"/>
  <c r="B93" i="3"/>
  <c r="A93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E92" i="3"/>
  <c r="D92" i="3"/>
  <c r="C92" i="3"/>
  <c r="B92" i="3"/>
  <c r="A92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E91" i="3"/>
  <c r="D91" i="3"/>
  <c r="C91" i="3"/>
  <c r="B91" i="3"/>
  <c r="A91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E90" i="3"/>
  <c r="D90" i="3"/>
  <c r="C90" i="3"/>
  <c r="B90" i="3"/>
  <c r="A90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E89" i="3"/>
  <c r="D89" i="3"/>
  <c r="C89" i="3"/>
  <c r="B89" i="3"/>
  <c r="A89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E88" i="3"/>
  <c r="D88" i="3"/>
  <c r="C88" i="3"/>
  <c r="B88" i="3"/>
  <c r="A88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E87" i="3"/>
  <c r="D87" i="3"/>
  <c r="C87" i="3"/>
  <c r="B87" i="3"/>
  <c r="A87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E86" i="3"/>
  <c r="D86" i="3"/>
  <c r="C86" i="3"/>
  <c r="B86" i="3"/>
  <c r="A86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E85" i="3"/>
  <c r="D85" i="3"/>
  <c r="C85" i="3"/>
  <c r="B85" i="3"/>
  <c r="A85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E84" i="3"/>
  <c r="D84" i="3"/>
  <c r="C84" i="3"/>
  <c r="B84" i="3"/>
  <c r="A84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E83" i="3"/>
  <c r="D83" i="3"/>
  <c r="C83" i="3"/>
  <c r="B83" i="3"/>
  <c r="A83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E82" i="3"/>
  <c r="D82" i="3"/>
  <c r="C82" i="3"/>
  <c r="B82" i="3"/>
  <c r="A82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E81" i="3"/>
  <c r="D81" i="3"/>
  <c r="C81" i="3"/>
  <c r="B81" i="3"/>
  <c r="A81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E80" i="3"/>
  <c r="D80" i="3"/>
  <c r="C80" i="3"/>
  <c r="B80" i="3"/>
  <c r="A80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E79" i="3"/>
  <c r="D79" i="3"/>
  <c r="C79" i="3"/>
  <c r="B79" i="3"/>
  <c r="A79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E78" i="3"/>
  <c r="D78" i="3"/>
  <c r="C78" i="3"/>
  <c r="B78" i="3"/>
  <c r="A78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E77" i="3"/>
  <c r="D77" i="3"/>
  <c r="C77" i="3"/>
  <c r="B77" i="3"/>
  <c r="A77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E76" i="3"/>
  <c r="D76" i="3"/>
  <c r="C76" i="3"/>
  <c r="B76" i="3"/>
  <c r="A76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E75" i="3"/>
  <c r="D75" i="3"/>
  <c r="C75" i="3"/>
  <c r="B75" i="3"/>
  <c r="A75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E74" i="3"/>
  <c r="D74" i="3"/>
  <c r="C74" i="3"/>
  <c r="B74" i="3"/>
  <c r="A74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E73" i="3"/>
  <c r="D73" i="3"/>
  <c r="C73" i="3"/>
  <c r="B73" i="3"/>
  <c r="A73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E72" i="3"/>
  <c r="D72" i="3"/>
  <c r="C72" i="3"/>
  <c r="B72" i="3"/>
  <c r="A72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E71" i="3"/>
  <c r="D71" i="3"/>
  <c r="C71" i="3"/>
  <c r="B71" i="3"/>
  <c r="A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E70" i="3"/>
  <c r="D70" i="3"/>
  <c r="C70" i="3"/>
  <c r="B70" i="3"/>
  <c r="A70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E69" i="3"/>
  <c r="D69" i="3"/>
  <c r="C69" i="3"/>
  <c r="B69" i="3"/>
  <c r="A69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E68" i="3"/>
  <c r="D68" i="3"/>
  <c r="C68" i="3"/>
  <c r="B68" i="3"/>
  <c r="A68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E67" i="3"/>
  <c r="D67" i="3"/>
  <c r="C67" i="3"/>
  <c r="B67" i="3"/>
  <c r="A67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E66" i="3"/>
  <c r="D66" i="3"/>
  <c r="C66" i="3"/>
  <c r="B66" i="3"/>
  <c r="A66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E65" i="3"/>
  <c r="D65" i="3"/>
  <c r="C65" i="3"/>
  <c r="B65" i="3"/>
  <c r="A65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E64" i="3"/>
  <c r="D64" i="3"/>
  <c r="C64" i="3"/>
  <c r="B64" i="3"/>
  <c r="A64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E63" i="3"/>
  <c r="D63" i="3"/>
  <c r="C63" i="3"/>
  <c r="B63" i="3"/>
  <c r="A63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E62" i="3"/>
  <c r="D62" i="3"/>
  <c r="C62" i="3"/>
  <c r="B62" i="3"/>
  <c r="A62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E61" i="3"/>
  <c r="D61" i="3"/>
  <c r="C61" i="3"/>
  <c r="B61" i="3"/>
  <c r="A61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E60" i="3"/>
  <c r="D60" i="3"/>
  <c r="C60" i="3"/>
  <c r="B60" i="3"/>
  <c r="A60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E59" i="3"/>
  <c r="D59" i="3"/>
  <c r="C59" i="3"/>
  <c r="B59" i="3"/>
  <c r="A59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E58" i="3"/>
  <c r="D58" i="3"/>
  <c r="C58" i="3"/>
  <c r="B58" i="3"/>
  <c r="A58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E57" i="3"/>
  <c r="D57" i="3"/>
  <c r="C57" i="3"/>
  <c r="B57" i="3"/>
  <c r="A57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E56" i="3"/>
  <c r="D56" i="3"/>
  <c r="C56" i="3"/>
  <c r="B56" i="3"/>
  <c r="A56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E55" i="3"/>
  <c r="D55" i="3"/>
  <c r="C55" i="3"/>
  <c r="B55" i="3"/>
  <c r="A55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E54" i="3"/>
  <c r="D54" i="3"/>
  <c r="C54" i="3"/>
  <c r="B54" i="3"/>
  <c r="A54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E53" i="3"/>
  <c r="D53" i="3"/>
  <c r="C53" i="3"/>
  <c r="B53" i="3"/>
  <c r="A53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E52" i="3"/>
  <c r="D52" i="3"/>
  <c r="C52" i="3"/>
  <c r="B52" i="3"/>
  <c r="A52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E51" i="3"/>
  <c r="D51" i="3"/>
  <c r="C51" i="3"/>
  <c r="B51" i="3"/>
  <c r="A51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E50" i="3"/>
  <c r="D50" i="3"/>
  <c r="C50" i="3"/>
  <c r="B50" i="3"/>
  <c r="A50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E49" i="3"/>
  <c r="D49" i="3"/>
  <c r="C49" i="3"/>
  <c r="B49" i="3"/>
  <c r="A49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E48" i="3"/>
  <c r="D48" i="3"/>
  <c r="C48" i="3"/>
  <c r="B48" i="3"/>
  <c r="A48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E47" i="3"/>
  <c r="D47" i="3"/>
  <c r="C47" i="3"/>
  <c r="B47" i="3"/>
  <c r="A47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E46" i="3"/>
  <c r="D46" i="3"/>
  <c r="C46" i="3"/>
  <c r="B46" i="3"/>
  <c r="A46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E45" i="3"/>
  <c r="D45" i="3"/>
  <c r="C45" i="3"/>
  <c r="B45" i="3"/>
  <c r="A45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E44" i="3"/>
  <c r="D44" i="3"/>
  <c r="C44" i="3"/>
  <c r="B44" i="3"/>
  <c r="A44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E43" i="3"/>
  <c r="D43" i="3"/>
  <c r="C43" i="3"/>
  <c r="B43" i="3"/>
  <c r="A43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E42" i="3"/>
  <c r="D42" i="3"/>
  <c r="C42" i="3"/>
  <c r="B42" i="3"/>
  <c r="A42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E41" i="3"/>
  <c r="D41" i="3"/>
  <c r="C41" i="3"/>
  <c r="B41" i="3"/>
  <c r="A41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E40" i="3"/>
  <c r="D40" i="3"/>
  <c r="C40" i="3"/>
  <c r="B40" i="3"/>
  <c r="A40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E39" i="3"/>
  <c r="D39" i="3"/>
  <c r="C39" i="3"/>
  <c r="B39" i="3"/>
  <c r="A39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E38" i="3"/>
  <c r="D38" i="3"/>
  <c r="C38" i="3"/>
  <c r="B38" i="3"/>
  <c r="A38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E37" i="3"/>
  <c r="D37" i="3"/>
  <c r="C37" i="3"/>
  <c r="B37" i="3"/>
  <c r="A37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E36" i="3"/>
  <c r="D36" i="3"/>
  <c r="C36" i="3"/>
  <c r="B36" i="3"/>
  <c r="A36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E35" i="3"/>
  <c r="D35" i="3"/>
  <c r="C35" i="3"/>
  <c r="B35" i="3"/>
  <c r="A35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E34" i="3"/>
  <c r="D34" i="3"/>
  <c r="C34" i="3"/>
  <c r="B34" i="3"/>
  <c r="A34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E33" i="3"/>
  <c r="D33" i="3"/>
  <c r="C33" i="3"/>
  <c r="B33" i="3"/>
  <c r="A33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E32" i="3"/>
  <c r="D32" i="3"/>
  <c r="C32" i="3"/>
  <c r="B32" i="3"/>
  <c r="A32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E31" i="3"/>
  <c r="D31" i="3"/>
  <c r="C31" i="3"/>
  <c r="B31" i="3"/>
  <c r="A31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E30" i="3"/>
  <c r="D30" i="3"/>
  <c r="C30" i="3"/>
  <c r="B30" i="3"/>
  <c r="A30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E29" i="3"/>
  <c r="D29" i="3"/>
  <c r="C29" i="3"/>
  <c r="B29" i="3"/>
  <c r="A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E28" i="3"/>
  <c r="D28" i="3"/>
  <c r="C28" i="3"/>
  <c r="B28" i="3"/>
  <c r="A28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E27" i="3"/>
  <c r="D27" i="3"/>
  <c r="C27" i="3"/>
  <c r="B27" i="3"/>
  <c r="A27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E26" i="3"/>
  <c r="D26" i="3"/>
  <c r="C26" i="3"/>
  <c r="B26" i="3"/>
  <c r="A26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E25" i="3"/>
  <c r="D25" i="3"/>
  <c r="C25" i="3"/>
  <c r="B25" i="3"/>
  <c r="A25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E24" i="3"/>
  <c r="D24" i="3"/>
  <c r="C24" i="3"/>
  <c r="B24" i="3"/>
  <c r="A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E23" i="3"/>
  <c r="D23" i="3"/>
  <c r="C23" i="3"/>
  <c r="B23" i="3"/>
  <c r="A23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E22" i="3"/>
  <c r="D22" i="3"/>
  <c r="C22" i="3"/>
  <c r="B22" i="3"/>
  <c r="A22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E21" i="3"/>
  <c r="D21" i="3"/>
  <c r="C21" i="3"/>
  <c r="B21" i="3"/>
  <c r="A21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E20" i="3"/>
  <c r="D20" i="3"/>
  <c r="C20" i="3"/>
  <c r="B20" i="3"/>
  <c r="A20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E19" i="3"/>
  <c r="D19" i="3"/>
  <c r="C19" i="3"/>
  <c r="B19" i="3"/>
  <c r="A19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E18" i="3"/>
  <c r="D18" i="3"/>
  <c r="C18" i="3"/>
  <c r="B18" i="3"/>
  <c r="A18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E17" i="3"/>
  <c r="D17" i="3"/>
  <c r="C17" i="3"/>
  <c r="B17" i="3"/>
  <c r="A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E16" i="3"/>
  <c r="D16" i="3"/>
  <c r="C16" i="3"/>
  <c r="B16" i="3"/>
  <c r="A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E15" i="3"/>
  <c r="D15" i="3"/>
  <c r="C15" i="3"/>
  <c r="B15" i="3"/>
  <c r="A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E14" i="3"/>
  <c r="D14" i="3"/>
  <c r="C14" i="3"/>
  <c r="B14" i="3"/>
  <c r="A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E13" i="3"/>
  <c r="D13" i="3"/>
  <c r="C13" i="3"/>
  <c r="B13" i="3"/>
  <c r="A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E12" i="3"/>
  <c r="D12" i="3"/>
  <c r="C12" i="3"/>
  <c r="B12" i="3"/>
  <c r="A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E11" i="3"/>
  <c r="D11" i="3"/>
  <c r="C11" i="3"/>
  <c r="B11" i="3"/>
  <c r="A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E10" i="3"/>
  <c r="D10" i="3"/>
  <c r="C10" i="3"/>
  <c r="B10" i="3"/>
  <c r="A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E9" i="3"/>
  <c r="D9" i="3"/>
  <c r="C9" i="3"/>
  <c r="B9" i="3"/>
  <c r="A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E8" i="3"/>
  <c r="D8" i="3"/>
  <c r="C8" i="3"/>
  <c r="B8" i="3"/>
  <c r="A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E7" i="3"/>
  <c r="D7" i="3"/>
  <c r="C7" i="3"/>
  <c r="B7" i="3"/>
  <c r="A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E6" i="3"/>
  <c r="D6" i="3"/>
  <c r="C6" i="3"/>
  <c r="B6" i="3"/>
  <c r="A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E5" i="3"/>
  <c r="D5" i="3"/>
  <c r="C5" i="3"/>
  <c r="B5" i="3"/>
  <c r="A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E4" i="3"/>
  <c r="D4" i="3"/>
  <c r="C4" i="3"/>
  <c r="B4" i="3"/>
  <c r="A4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E3" i="3"/>
  <c r="D3" i="3"/>
  <c r="C3" i="3"/>
  <c r="B3" i="3"/>
  <c r="A3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E2" i="3"/>
  <c r="D2" i="3"/>
  <c r="C2" i="3"/>
  <c r="B2" i="3"/>
  <c r="A2" i="3"/>
  <c r="AO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H127" i="2" s="1"/>
  <c r="AM127" i="2" s="1"/>
  <c r="O127" i="2"/>
  <c r="N127" i="2"/>
  <c r="M127" i="2"/>
  <c r="L127" i="2"/>
  <c r="K127" i="2"/>
  <c r="J127" i="2"/>
  <c r="AJ127" i="2" s="1"/>
  <c r="I127" i="2"/>
  <c r="H127" i="2"/>
  <c r="G127" i="2"/>
  <c r="E127" i="2"/>
  <c r="D127" i="2"/>
  <c r="C127" i="2"/>
  <c r="B127" i="2"/>
  <c r="A127" i="2"/>
  <c r="AI127" i="2" s="1"/>
  <c r="AN127" i="2" s="1"/>
  <c r="AG126" i="2"/>
  <c r="AL126" i="2" s="1"/>
  <c r="AE126" i="2"/>
  <c r="AD126" i="2"/>
  <c r="AC126" i="2"/>
  <c r="AB126" i="2"/>
  <c r="AA126" i="2"/>
  <c r="Z126" i="2"/>
  <c r="Y126" i="2"/>
  <c r="X126" i="2"/>
  <c r="W126" i="2"/>
  <c r="V126" i="2"/>
  <c r="U126" i="2"/>
  <c r="AH126" i="2" s="1"/>
  <c r="AM126" i="2" s="1"/>
  <c r="T126" i="2"/>
  <c r="S126" i="2"/>
  <c r="R126" i="2"/>
  <c r="Q126" i="2"/>
  <c r="P126" i="2"/>
  <c r="O126" i="2"/>
  <c r="N126" i="2"/>
  <c r="M126" i="2"/>
  <c r="L126" i="2"/>
  <c r="K126" i="2"/>
  <c r="J126" i="2"/>
  <c r="I126" i="2"/>
  <c r="AF126" i="2" s="1"/>
  <c r="AK126" i="2" s="1"/>
  <c r="H126" i="2"/>
  <c r="G126" i="2"/>
  <c r="E126" i="2"/>
  <c r="D126" i="2"/>
  <c r="C126" i="2"/>
  <c r="B126" i="2"/>
  <c r="A126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E125" i="2"/>
  <c r="D125" i="2"/>
  <c r="C125" i="2"/>
  <c r="B125" i="2"/>
  <c r="A125" i="2"/>
  <c r="AO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AH124" i="2" s="1"/>
  <c r="AM124" i="2" s="1"/>
  <c r="O124" i="2"/>
  <c r="N124" i="2"/>
  <c r="M124" i="2"/>
  <c r="L124" i="2"/>
  <c r="K124" i="2"/>
  <c r="J124" i="2"/>
  <c r="AJ124" i="2" s="1"/>
  <c r="I124" i="2"/>
  <c r="H124" i="2"/>
  <c r="G124" i="2"/>
  <c r="E124" i="2"/>
  <c r="D124" i="2"/>
  <c r="C124" i="2"/>
  <c r="B124" i="2"/>
  <c r="A124" i="2"/>
  <c r="AG123" i="2"/>
  <c r="AL123" i="2" s="1"/>
  <c r="AE123" i="2"/>
  <c r="AD123" i="2"/>
  <c r="AC123" i="2"/>
  <c r="AB123" i="2"/>
  <c r="AA123" i="2"/>
  <c r="Z123" i="2"/>
  <c r="Y123" i="2"/>
  <c r="X123" i="2"/>
  <c r="W123" i="2"/>
  <c r="V123" i="2"/>
  <c r="U123" i="2"/>
  <c r="AH123" i="2" s="1"/>
  <c r="AM123" i="2" s="1"/>
  <c r="T123" i="2"/>
  <c r="S123" i="2"/>
  <c r="R123" i="2"/>
  <c r="Q123" i="2"/>
  <c r="P123" i="2"/>
  <c r="O123" i="2"/>
  <c r="N123" i="2"/>
  <c r="M123" i="2"/>
  <c r="L123" i="2"/>
  <c r="K123" i="2"/>
  <c r="J123" i="2"/>
  <c r="I123" i="2"/>
  <c r="AF123" i="2" s="1"/>
  <c r="AK123" i="2" s="1"/>
  <c r="H123" i="2"/>
  <c r="G123" i="2"/>
  <c r="E123" i="2"/>
  <c r="D123" i="2"/>
  <c r="C123" i="2"/>
  <c r="B123" i="2"/>
  <c r="A123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E122" i="2"/>
  <c r="D122" i="2"/>
  <c r="C122" i="2"/>
  <c r="B122" i="2"/>
  <c r="A122" i="2"/>
  <c r="AI121" i="2"/>
  <c r="AN121" i="2" s="1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AH121" i="2" s="1"/>
  <c r="AM121" i="2" s="1"/>
  <c r="O121" i="2"/>
  <c r="N121" i="2"/>
  <c r="M121" i="2"/>
  <c r="L121" i="2"/>
  <c r="K121" i="2"/>
  <c r="J121" i="2"/>
  <c r="I121" i="2"/>
  <c r="H121" i="2"/>
  <c r="G121" i="2"/>
  <c r="E121" i="2"/>
  <c r="D121" i="2"/>
  <c r="C121" i="2"/>
  <c r="B121" i="2"/>
  <c r="A121" i="2"/>
  <c r="AG120" i="2"/>
  <c r="AL120" i="2" s="1"/>
  <c r="AE120" i="2"/>
  <c r="AD120" i="2"/>
  <c r="AC120" i="2"/>
  <c r="AB120" i="2"/>
  <c r="AA120" i="2"/>
  <c r="Z120" i="2"/>
  <c r="Y120" i="2"/>
  <c r="X120" i="2"/>
  <c r="W120" i="2"/>
  <c r="V120" i="2"/>
  <c r="U120" i="2"/>
  <c r="AH120" i="2" s="1"/>
  <c r="AM120" i="2" s="1"/>
  <c r="T120" i="2"/>
  <c r="S120" i="2"/>
  <c r="R120" i="2"/>
  <c r="Q120" i="2"/>
  <c r="P120" i="2"/>
  <c r="O120" i="2"/>
  <c r="N120" i="2"/>
  <c r="M120" i="2"/>
  <c r="L120" i="2"/>
  <c r="K120" i="2"/>
  <c r="J120" i="2"/>
  <c r="I120" i="2"/>
  <c r="AF120" i="2" s="1"/>
  <c r="AK120" i="2" s="1"/>
  <c r="H120" i="2"/>
  <c r="G120" i="2"/>
  <c r="E120" i="2"/>
  <c r="D120" i="2"/>
  <c r="C120" i="2"/>
  <c r="B120" i="2"/>
  <c r="A120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E119" i="2"/>
  <c r="D119" i="2"/>
  <c r="C119" i="2"/>
  <c r="B119" i="2"/>
  <c r="A119" i="2"/>
  <c r="AO118" i="2"/>
  <c r="AI118" i="2"/>
  <c r="AN118" i="2" s="1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AH118" i="2" s="1"/>
  <c r="AM118" i="2" s="1"/>
  <c r="O118" i="2"/>
  <c r="N118" i="2"/>
  <c r="M118" i="2"/>
  <c r="L118" i="2"/>
  <c r="K118" i="2"/>
  <c r="J118" i="2"/>
  <c r="AJ118" i="2" s="1"/>
  <c r="I118" i="2"/>
  <c r="H118" i="2"/>
  <c r="G118" i="2"/>
  <c r="E118" i="2"/>
  <c r="D118" i="2"/>
  <c r="C118" i="2"/>
  <c r="B118" i="2"/>
  <c r="A118" i="2"/>
  <c r="AG118" i="2" s="1"/>
  <c r="AL118" i="2" s="1"/>
  <c r="AG117" i="2"/>
  <c r="AL117" i="2" s="1"/>
  <c r="AE117" i="2"/>
  <c r="AD117" i="2"/>
  <c r="AC117" i="2"/>
  <c r="AB117" i="2"/>
  <c r="AA117" i="2"/>
  <c r="Z117" i="2"/>
  <c r="Y117" i="2"/>
  <c r="X117" i="2"/>
  <c r="W117" i="2"/>
  <c r="V117" i="2"/>
  <c r="U117" i="2"/>
  <c r="AH117" i="2" s="1"/>
  <c r="AM117" i="2" s="1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E117" i="2"/>
  <c r="D117" i="2"/>
  <c r="C117" i="2"/>
  <c r="B117" i="2"/>
  <c r="A117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E116" i="2"/>
  <c r="D116" i="2"/>
  <c r="C116" i="2"/>
  <c r="B116" i="2"/>
  <c r="A116" i="2"/>
  <c r="AH115" i="2"/>
  <c r="AM115" i="2" s="1"/>
  <c r="AE115" i="2"/>
  <c r="AD115" i="2"/>
  <c r="AC115" i="2"/>
  <c r="AB115" i="2"/>
  <c r="AA115" i="2"/>
  <c r="Z115" i="2"/>
  <c r="Y115" i="2"/>
  <c r="X115" i="2"/>
  <c r="W115" i="2"/>
  <c r="V115" i="2"/>
  <c r="AF115" i="2" s="1"/>
  <c r="AK115" i="2" s="1"/>
  <c r="U115" i="2"/>
  <c r="T115" i="2"/>
  <c r="S115" i="2"/>
  <c r="R115" i="2"/>
  <c r="Q115" i="2"/>
  <c r="AI115" i="2" s="1"/>
  <c r="AN115" i="2" s="1"/>
  <c r="P115" i="2"/>
  <c r="O115" i="2"/>
  <c r="N115" i="2"/>
  <c r="M115" i="2"/>
  <c r="L115" i="2"/>
  <c r="K115" i="2"/>
  <c r="J115" i="2"/>
  <c r="I115" i="2"/>
  <c r="H115" i="2"/>
  <c r="G115" i="2"/>
  <c r="E115" i="2"/>
  <c r="D115" i="2"/>
  <c r="C115" i="2"/>
  <c r="B115" i="2"/>
  <c r="A115" i="2"/>
  <c r="AG115" i="2" s="1"/>
  <c r="AL115" i="2" s="1"/>
  <c r="AG114" i="2"/>
  <c r="AL114" i="2" s="1"/>
  <c r="AE114" i="2"/>
  <c r="AD114" i="2"/>
  <c r="AC114" i="2"/>
  <c r="AB114" i="2"/>
  <c r="AA114" i="2"/>
  <c r="Z114" i="2"/>
  <c r="Y114" i="2"/>
  <c r="X114" i="2"/>
  <c r="W114" i="2"/>
  <c r="V114" i="2"/>
  <c r="U114" i="2"/>
  <c r="AH114" i="2" s="1"/>
  <c r="AM114" i="2" s="1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E114" i="2"/>
  <c r="D114" i="2"/>
  <c r="C114" i="2"/>
  <c r="B114" i="2"/>
  <c r="A114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E113" i="2"/>
  <c r="D113" i="2"/>
  <c r="C113" i="2"/>
  <c r="B113" i="2"/>
  <c r="A113" i="2"/>
  <c r="AH112" i="2"/>
  <c r="AM112" i="2" s="1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AI112" i="2" s="1"/>
  <c r="AN112" i="2" s="1"/>
  <c r="P112" i="2"/>
  <c r="O112" i="2"/>
  <c r="N112" i="2"/>
  <c r="M112" i="2"/>
  <c r="L112" i="2"/>
  <c r="K112" i="2"/>
  <c r="J112" i="2"/>
  <c r="AJ112" i="2" s="1"/>
  <c r="AO112" i="2" s="1"/>
  <c r="I112" i="2"/>
  <c r="H112" i="2"/>
  <c r="G112" i="2"/>
  <c r="E112" i="2"/>
  <c r="D112" i="2"/>
  <c r="C112" i="2"/>
  <c r="B112" i="2"/>
  <c r="A112" i="2"/>
  <c r="AG111" i="2"/>
  <c r="AL111" i="2" s="1"/>
  <c r="AE111" i="2"/>
  <c r="AD111" i="2"/>
  <c r="AC111" i="2"/>
  <c r="AB111" i="2"/>
  <c r="AA111" i="2"/>
  <c r="Z111" i="2"/>
  <c r="Y111" i="2"/>
  <c r="X111" i="2"/>
  <c r="W111" i="2"/>
  <c r="V111" i="2"/>
  <c r="U111" i="2"/>
  <c r="AH111" i="2" s="1"/>
  <c r="AM111" i="2" s="1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E111" i="2"/>
  <c r="D111" i="2"/>
  <c r="C111" i="2"/>
  <c r="B111" i="2"/>
  <c r="A111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E110" i="2"/>
  <c r="D110" i="2"/>
  <c r="C110" i="2"/>
  <c r="B110" i="2"/>
  <c r="A110" i="2"/>
  <c r="AH109" i="2"/>
  <c r="AM109" i="2" s="1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AI109" i="2" s="1"/>
  <c r="AN109" i="2" s="1"/>
  <c r="P109" i="2"/>
  <c r="O109" i="2"/>
  <c r="N109" i="2"/>
  <c r="M109" i="2"/>
  <c r="L109" i="2"/>
  <c r="K109" i="2"/>
  <c r="J109" i="2"/>
  <c r="AJ109" i="2" s="1"/>
  <c r="AO109" i="2" s="1"/>
  <c r="I109" i="2"/>
  <c r="H109" i="2"/>
  <c r="G109" i="2"/>
  <c r="E109" i="2"/>
  <c r="D109" i="2"/>
  <c r="C109" i="2"/>
  <c r="B109" i="2"/>
  <c r="A109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E108" i="2"/>
  <c r="D108" i="2"/>
  <c r="C108" i="2"/>
  <c r="B108" i="2"/>
  <c r="A108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E107" i="2"/>
  <c r="D107" i="2"/>
  <c r="C107" i="2"/>
  <c r="B107" i="2"/>
  <c r="A107" i="2"/>
  <c r="AI106" i="2"/>
  <c r="AN106" i="2" s="1"/>
  <c r="AH106" i="2"/>
  <c r="AM106" i="2" s="1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AJ106" i="2" s="1"/>
  <c r="AO106" i="2" s="1"/>
  <c r="I106" i="2"/>
  <c r="H106" i="2"/>
  <c r="G106" i="2"/>
  <c r="E106" i="2"/>
  <c r="D106" i="2"/>
  <c r="C106" i="2"/>
  <c r="B106" i="2"/>
  <c r="A106" i="2"/>
  <c r="AG105" i="2"/>
  <c r="AL105" i="2" s="1"/>
  <c r="AE105" i="2"/>
  <c r="AD105" i="2"/>
  <c r="AC105" i="2"/>
  <c r="AB105" i="2"/>
  <c r="AA105" i="2"/>
  <c r="Z105" i="2"/>
  <c r="Y105" i="2"/>
  <c r="X105" i="2"/>
  <c r="W105" i="2"/>
  <c r="V105" i="2"/>
  <c r="U105" i="2"/>
  <c r="AH105" i="2" s="1"/>
  <c r="AM105" i="2" s="1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E105" i="2"/>
  <c r="D105" i="2"/>
  <c r="C105" i="2"/>
  <c r="B105" i="2"/>
  <c r="A105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E104" i="2"/>
  <c r="D104" i="2"/>
  <c r="C104" i="2"/>
  <c r="B104" i="2"/>
  <c r="A104" i="2"/>
  <c r="AE103" i="2"/>
  <c r="AD103" i="2"/>
  <c r="AC103" i="2"/>
  <c r="AB103" i="2"/>
  <c r="AA103" i="2"/>
  <c r="AH103" i="2" s="1"/>
  <c r="AM103" i="2" s="1"/>
  <c r="Z103" i="2"/>
  <c r="Y103" i="2"/>
  <c r="X103" i="2"/>
  <c r="W103" i="2"/>
  <c r="V103" i="2"/>
  <c r="U103" i="2"/>
  <c r="T103" i="2"/>
  <c r="S103" i="2"/>
  <c r="R103" i="2"/>
  <c r="Q103" i="2"/>
  <c r="AI103" i="2" s="1"/>
  <c r="AN103" i="2" s="1"/>
  <c r="P103" i="2"/>
  <c r="O103" i="2"/>
  <c r="N103" i="2"/>
  <c r="M103" i="2"/>
  <c r="L103" i="2"/>
  <c r="K103" i="2"/>
  <c r="J103" i="2"/>
  <c r="I103" i="2"/>
  <c r="H103" i="2"/>
  <c r="G103" i="2"/>
  <c r="E103" i="2"/>
  <c r="D103" i="2"/>
  <c r="C103" i="2"/>
  <c r="B103" i="2"/>
  <c r="A103" i="2"/>
  <c r="AG103" i="2" s="1"/>
  <c r="AL103" i="2" s="1"/>
  <c r="AG102" i="2"/>
  <c r="AL102" i="2" s="1"/>
  <c r="AE102" i="2"/>
  <c r="AD102" i="2"/>
  <c r="AC102" i="2"/>
  <c r="AB102" i="2"/>
  <c r="AA102" i="2"/>
  <c r="Z102" i="2"/>
  <c r="Y102" i="2"/>
  <c r="X102" i="2"/>
  <c r="W102" i="2"/>
  <c r="V102" i="2"/>
  <c r="U102" i="2"/>
  <c r="AH102" i="2" s="1"/>
  <c r="AM102" i="2" s="1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E102" i="2"/>
  <c r="D102" i="2"/>
  <c r="C102" i="2"/>
  <c r="B102" i="2"/>
  <c r="A102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E101" i="2"/>
  <c r="D101" i="2"/>
  <c r="C101" i="2"/>
  <c r="B101" i="2"/>
  <c r="A101" i="2"/>
  <c r="AI101" i="2" s="1"/>
  <c r="AN101" i="2" s="1"/>
  <c r="AH100" i="2"/>
  <c r="AM100" i="2" s="1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AI100" i="2" s="1"/>
  <c r="AN100" i="2" s="1"/>
  <c r="P100" i="2"/>
  <c r="O100" i="2"/>
  <c r="N100" i="2"/>
  <c r="M100" i="2"/>
  <c r="L100" i="2"/>
  <c r="K100" i="2"/>
  <c r="J100" i="2"/>
  <c r="AJ100" i="2" s="1"/>
  <c r="AO100" i="2" s="1"/>
  <c r="I100" i="2"/>
  <c r="H100" i="2"/>
  <c r="G100" i="2"/>
  <c r="E100" i="2"/>
  <c r="D100" i="2"/>
  <c r="C100" i="2"/>
  <c r="B100" i="2"/>
  <c r="A100" i="2"/>
  <c r="AF99" i="2"/>
  <c r="AK99" i="2" s="1"/>
  <c r="AE99" i="2"/>
  <c r="AD99" i="2"/>
  <c r="AC99" i="2"/>
  <c r="AB99" i="2"/>
  <c r="AG99" i="2" s="1"/>
  <c r="AL99" i="2" s="1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AH99" i="2" s="1"/>
  <c r="AM99" i="2" s="1"/>
  <c r="G99" i="2"/>
  <c r="E99" i="2"/>
  <c r="D99" i="2"/>
  <c r="C99" i="2"/>
  <c r="B99" i="2"/>
  <c r="A99" i="2"/>
  <c r="AG98" i="2"/>
  <c r="AL98" i="2" s="1"/>
  <c r="AF98" i="2"/>
  <c r="AK98" i="2" s="1"/>
  <c r="AE98" i="2"/>
  <c r="AD98" i="2"/>
  <c r="AC98" i="2"/>
  <c r="AB98" i="2"/>
  <c r="AA98" i="2"/>
  <c r="Z98" i="2"/>
  <c r="Y98" i="2"/>
  <c r="X98" i="2"/>
  <c r="W98" i="2"/>
  <c r="V98" i="2"/>
  <c r="U98" i="2"/>
  <c r="T98" i="2"/>
  <c r="AI98" i="2" s="1"/>
  <c r="AN98" i="2" s="1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E98" i="2"/>
  <c r="D98" i="2"/>
  <c r="C98" i="2"/>
  <c r="B98" i="2"/>
  <c r="A98" i="2"/>
  <c r="AJ98" i="2" s="1"/>
  <c r="AO98" i="2" s="1"/>
  <c r="AI97" i="2"/>
  <c r="AN97" i="2" s="1"/>
  <c r="AE97" i="2"/>
  <c r="AD97" i="2"/>
  <c r="AC97" i="2"/>
  <c r="AB97" i="2"/>
  <c r="AA97" i="2"/>
  <c r="AH97" i="2" s="1"/>
  <c r="AM97" i="2" s="1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AJ97" i="2" s="1"/>
  <c r="AO97" i="2" s="1"/>
  <c r="I97" i="2"/>
  <c r="H97" i="2"/>
  <c r="G97" i="2"/>
  <c r="E97" i="2"/>
  <c r="D97" i="2"/>
  <c r="C97" i="2"/>
  <c r="B97" i="2"/>
  <c r="A97" i="2"/>
  <c r="AH96" i="2"/>
  <c r="AM96" i="2" s="1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AF96" i="2" s="1"/>
  <c r="AK96" i="2" s="1"/>
  <c r="R96" i="2"/>
  <c r="Q96" i="2"/>
  <c r="P96" i="2"/>
  <c r="O96" i="2"/>
  <c r="N96" i="2"/>
  <c r="M96" i="2"/>
  <c r="L96" i="2"/>
  <c r="K96" i="2"/>
  <c r="J96" i="2"/>
  <c r="I96" i="2"/>
  <c r="H96" i="2"/>
  <c r="G96" i="2"/>
  <c r="E96" i="2"/>
  <c r="D96" i="2"/>
  <c r="C96" i="2"/>
  <c r="B96" i="2"/>
  <c r="A96" i="2"/>
  <c r="AG96" i="2" s="1"/>
  <c r="AL96" i="2" s="1"/>
  <c r="AI95" i="2"/>
  <c r="AN95" i="2" s="1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AF95" i="2" s="1"/>
  <c r="AK95" i="2" s="1"/>
  <c r="R95" i="2"/>
  <c r="Q95" i="2"/>
  <c r="P95" i="2"/>
  <c r="O95" i="2"/>
  <c r="N95" i="2"/>
  <c r="M95" i="2"/>
  <c r="L95" i="2"/>
  <c r="K95" i="2"/>
  <c r="J95" i="2"/>
  <c r="I95" i="2"/>
  <c r="H95" i="2"/>
  <c r="G95" i="2"/>
  <c r="AJ95" i="2" s="1"/>
  <c r="AO95" i="2" s="1"/>
  <c r="E95" i="2"/>
  <c r="D95" i="2"/>
  <c r="C95" i="2"/>
  <c r="B95" i="2"/>
  <c r="A95" i="2"/>
  <c r="AG95" i="2" s="1"/>
  <c r="AL95" i="2" s="1"/>
  <c r="AE94" i="2"/>
  <c r="AD94" i="2"/>
  <c r="AC94" i="2"/>
  <c r="AB94" i="2"/>
  <c r="AA94" i="2"/>
  <c r="Z94" i="2"/>
  <c r="Y94" i="2"/>
  <c r="X94" i="2"/>
  <c r="W94" i="2"/>
  <c r="V94" i="2"/>
  <c r="U94" i="2"/>
  <c r="AH94" i="2" s="1"/>
  <c r="AM94" i="2" s="1"/>
  <c r="T94" i="2"/>
  <c r="S94" i="2"/>
  <c r="R94" i="2"/>
  <c r="Q94" i="2"/>
  <c r="P94" i="2"/>
  <c r="O94" i="2"/>
  <c r="N94" i="2"/>
  <c r="M94" i="2"/>
  <c r="L94" i="2"/>
  <c r="AI94" i="2" s="1"/>
  <c r="AN94" i="2" s="1"/>
  <c r="K94" i="2"/>
  <c r="J94" i="2"/>
  <c r="AJ94" i="2" s="1"/>
  <c r="AO94" i="2" s="1"/>
  <c r="I94" i="2"/>
  <c r="H94" i="2"/>
  <c r="G94" i="2"/>
  <c r="E94" i="2"/>
  <c r="D94" i="2"/>
  <c r="C94" i="2"/>
  <c r="B94" i="2"/>
  <c r="A94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E93" i="2"/>
  <c r="D93" i="2"/>
  <c r="C93" i="2"/>
  <c r="B93" i="2"/>
  <c r="A93" i="2"/>
  <c r="AE92" i="2"/>
  <c r="AD92" i="2"/>
  <c r="AC92" i="2"/>
  <c r="AB92" i="2"/>
  <c r="AA92" i="2"/>
  <c r="Z92" i="2"/>
  <c r="Y92" i="2"/>
  <c r="X92" i="2"/>
  <c r="W92" i="2"/>
  <c r="AJ92" i="2" s="1"/>
  <c r="AO92" i="2" s="1"/>
  <c r="V92" i="2"/>
  <c r="U92" i="2"/>
  <c r="T92" i="2"/>
  <c r="S92" i="2"/>
  <c r="R92" i="2"/>
  <c r="Q92" i="2"/>
  <c r="P92" i="2"/>
  <c r="O92" i="2"/>
  <c r="N92" i="2"/>
  <c r="M92" i="2"/>
  <c r="L92" i="2"/>
  <c r="K92" i="2"/>
  <c r="AG92" i="2" s="1"/>
  <c r="AL92" i="2" s="1"/>
  <c r="J92" i="2"/>
  <c r="I92" i="2"/>
  <c r="H92" i="2"/>
  <c r="G92" i="2"/>
  <c r="E92" i="2"/>
  <c r="D92" i="2"/>
  <c r="C92" i="2"/>
  <c r="B92" i="2"/>
  <c r="A92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E91" i="2"/>
  <c r="D91" i="2"/>
  <c r="C91" i="2"/>
  <c r="B91" i="2"/>
  <c r="A91" i="2"/>
  <c r="AG90" i="2"/>
  <c r="AL90" i="2" s="1"/>
  <c r="AF90" i="2"/>
  <c r="AK90" i="2" s="1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AH90" i="2" s="1"/>
  <c r="AM90" i="2" s="1"/>
  <c r="G90" i="2"/>
  <c r="E90" i="2"/>
  <c r="D90" i="2"/>
  <c r="C90" i="2"/>
  <c r="B90" i="2"/>
  <c r="A90" i="2"/>
  <c r="AJ90" i="2" s="1"/>
  <c r="AO90" i="2" s="1"/>
  <c r="AI89" i="2"/>
  <c r="AN89" i="2" s="1"/>
  <c r="AF89" i="2"/>
  <c r="AK89" i="2" s="1"/>
  <c r="AE89" i="2"/>
  <c r="AD89" i="2"/>
  <c r="AC89" i="2"/>
  <c r="AB89" i="2"/>
  <c r="AA89" i="2"/>
  <c r="Z89" i="2"/>
  <c r="Y89" i="2"/>
  <c r="X89" i="2"/>
  <c r="W89" i="2"/>
  <c r="AJ89" i="2" s="1"/>
  <c r="AO89" i="2" s="1"/>
  <c r="V89" i="2"/>
  <c r="U89" i="2"/>
  <c r="T89" i="2"/>
  <c r="S89" i="2"/>
  <c r="R89" i="2"/>
  <c r="Q89" i="2"/>
  <c r="P89" i="2"/>
  <c r="O89" i="2"/>
  <c r="N89" i="2"/>
  <c r="M89" i="2"/>
  <c r="L89" i="2"/>
  <c r="K89" i="2"/>
  <c r="AG89" i="2" s="1"/>
  <c r="AL89" i="2" s="1"/>
  <c r="J89" i="2"/>
  <c r="I89" i="2"/>
  <c r="H89" i="2"/>
  <c r="AH89" i="2" s="1"/>
  <c r="AM89" i="2" s="1"/>
  <c r="G89" i="2"/>
  <c r="E89" i="2"/>
  <c r="D89" i="2"/>
  <c r="C89" i="2"/>
  <c r="B89" i="2"/>
  <c r="A89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AJ88" i="2" s="1"/>
  <c r="AO88" i="2" s="1"/>
  <c r="N88" i="2"/>
  <c r="M88" i="2"/>
  <c r="L88" i="2"/>
  <c r="AI88" i="2" s="1"/>
  <c r="AN88" i="2" s="1"/>
  <c r="K88" i="2"/>
  <c r="AG88" i="2" s="1"/>
  <c r="AL88" i="2" s="1"/>
  <c r="J88" i="2"/>
  <c r="I88" i="2"/>
  <c r="H88" i="2"/>
  <c r="G88" i="2"/>
  <c r="E88" i="2"/>
  <c r="D88" i="2"/>
  <c r="C88" i="2"/>
  <c r="B88" i="2"/>
  <c r="A88" i="2"/>
  <c r="AN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E87" i="2"/>
  <c r="D87" i="2"/>
  <c r="C87" i="2"/>
  <c r="B87" i="2"/>
  <c r="A87" i="2"/>
  <c r="AI87" i="2" s="1"/>
  <c r="AG86" i="2"/>
  <c r="AL86" i="2" s="1"/>
  <c r="AE86" i="2"/>
  <c r="AD86" i="2"/>
  <c r="AC86" i="2"/>
  <c r="AB86" i="2"/>
  <c r="AA86" i="2"/>
  <c r="Z86" i="2"/>
  <c r="Y86" i="2"/>
  <c r="X86" i="2"/>
  <c r="W86" i="2"/>
  <c r="V86" i="2"/>
  <c r="U86" i="2"/>
  <c r="AH86" i="2" s="1"/>
  <c r="AM86" i="2" s="1"/>
  <c r="T86" i="2"/>
  <c r="S86" i="2"/>
  <c r="R86" i="2"/>
  <c r="Q86" i="2"/>
  <c r="AI86" i="2" s="1"/>
  <c r="AN86" i="2" s="1"/>
  <c r="P86" i="2"/>
  <c r="O86" i="2"/>
  <c r="N86" i="2"/>
  <c r="M86" i="2"/>
  <c r="L86" i="2"/>
  <c r="K86" i="2"/>
  <c r="J86" i="2"/>
  <c r="I86" i="2"/>
  <c r="AF86" i="2" s="1"/>
  <c r="AK86" i="2" s="1"/>
  <c r="H86" i="2"/>
  <c r="G86" i="2"/>
  <c r="E86" i="2"/>
  <c r="D86" i="2"/>
  <c r="C86" i="2"/>
  <c r="B86" i="2"/>
  <c r="A86" i="2"/>
  <c r="AJ86" i="2" s="1"/>
  <c r="AO86" i="2" s="1"/>
  <c r="AK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E85" i="2"/>
  <c r="D85" i="2"/>
  <c r="C85" i="2"/>
  <c r="B85" i="2"/>
  <c r="A85" i="2"/>
  <c r="AF85" i="2" s="1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E84" i="2"/>
  <c r="D84" i="2"/>
  <c r="C84" i="2"/>
  <c r="B84" i="2"/>
  <c r="A84" i="2"/>
  <c r="AE83" i="2"/>
  <c r="AD83" i="2"/>
  <c r="AC83" i="2"/>
  <c r="AB83" i="2"/>
  <c r="AG83" i="2" s="1"/>
  <c r="AL83" i="2" s="1"/>
  <c r="AA83" i="2"/>
  <c r="Z83" i="2"/>
  <c r="Y83" i="2"/>
  <c r="X83" i="2"/>
  <c r="W83" i="2"/>
  <c r="V83" i="2"/>
  <c r="U83" i="2"/>
  <c r="T83" i="2"/>
  <c r="S83" i="2"/>
  <c r="AF83" i="2" s="1"/>
  <c r="AK83" i="2" s="1"/>
  <c r="R83" i="2"/>
  <c r="Q83" i="2"/>
  <c r="AI83" i="2" s="1"/>
  <c r="AN83" i="2" s="1"/>
  <c r="P83" i="2"/>
  <c r="O83" i="2"/>
  <c r="N83" i="2"/>
  <c r="M83" i="2"/>
  <c r="L83" i="2"/>
  <c r="K83" i="2"/>
  <c r="J83" i="2"/>
  <c r="I83" i="2"/>
  <c r="H83" i="2"/>
  <c r="G83" i="2"/>
  <c r="AJ83" i="2" s="1"/>
  <c r="AO83" i="2" s="1"/>
  <c r="E83" i="2"/>
  <c r="D83" i="2"/>
  <c r="C83" i="2"/>
  <c r="B83" i="2"/>
  <c r="A83" i="2"/>
  <c r="AI82" i="2"/>
  <c r="AN82" i="2" s="1"/>
  <c r="AF82" i="2"/>
  <c r="AK82" i="2" s="1"/>
  <c r="AE82" i="2"/>
  <c r="AD82" i="2"/>
  <c r="AC82" i="2"/>
  <c r="AB82" i="2"/>
  <c r="AA82" i="2"/>
  <c r="Z82" i="2"/>
  <c r="Y82" i="2"/>
  <c r="X82" i="2"/>
  <c r="W82" i="2"/>
  <c r="AJ82" i="2" s="1"/>
  <c r="AO82" i="2" s="1"/>
  <c r="V82" i="2"/>
  <c r="U82" i="2"/>
  <c r="T82" i="2"/>
  <c r="S82" i="2"/>
  <c r="R82" i="2"/>
  <c r="Q82" i="2"/>
  <c r="P82" i="2"/>
  <c r="O82" i="2"/>
  <c r="N82" i="2"/>
  <c r="M82" i="2"/>
  <c r="L82" i="2"/>
  <c r="K82" i="2"/>
  <c r="AG82" i="2" s="1"/>
  <c r="AL82" i="2" s="1"/>
  <c r="J82" i="2"/>
  <c r="I82" i="2"/>
  <c r="H82" i="2"/>
  <c r="AH82" i="2" s="1"/>
  <c r="AM82" i="2" s="1"/>
  <c r="G82" i="2"/>
  <c r="E82" i="2"/>
  <c r="D82" i="2"/>
  <c r="C82" i="2"/>
  <c r="B82" i="2"/>
  <c r="A82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E81" i="2"/>
  <c r="D81" i="2"/>
  <c r="C81" i="2"/>
  <c r="B81" i="2"/>
  <c r="A81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E80" i="2"/>
  <c r="D80" i="2"/>
  <c r="C80" i="2"/>
  <c r="B80" i="2"/>
  <c r="A80" i="2"/>
  <c r="AJ80" i="2" s="1"/>
  <c r="AO80" i="2" s="1"/>
  <c r="AG79" i="2"/>
  <c r="AL79" i="2" s="1"/>
  <c r="AE79" i="2"/>
  <c r="AD79" i="2"/>
  <c r="AC79" i="2"/>
  <c r="AB79" i="2"/>
  <c r="AA79" i="2"/>
  <c r="Z79" i="2"/>
  <c r="Y79" i="2"/>
  <c r="X79" i="2"/>
  <c r="W79" i="2"/>
  <c r="V79" i="2"/>
  <c r="U79" i="2"/>
  <c r="AH79" i="2" s="1"/>
  <c r="AM79" i="2" s="1"/>
  <c r="T79" i="2"/>
  <c r="S79" i="2"/>
  <c r="R79" i="2"/>
  <c r="Q79" i="2"/>
  <c r="AI79" i="2" s="1"/>
  <c r="AN79" i="2" s="1"/>
  <c r="P79" i="2"/>
  <c r="O79" i="2"/>
  <c r="N79" i="2"/>
  <c r="M79" i="2"/>
  <c r="L79" i="2"/>
  <c r="K79" i="2"/>
  <c r="J79" i="2"/>
  <c r="I79" i="2"/>
  <c r="AF79" i="2" s="1"/>
  <c r="AK79" i="2" s="1"/>
  <c r="H79" i="2"/>
  <c r="G79" i="2"/>
  <c r="E79" i="2"/>
  <c r="D79" i="2"/>
  <c r="C79" i="2"/>
  <c r="B79" i="2"/>
  <c r="A79" i="2"/>
  <c r="AJ79" i="2" s="1"/>
  <c r="AO79" i="2" s="1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E78" i="2"/>
  <c r="D78" i="2"/>
  <c r="C78" i="2"/>
  <c r="B78" i="2"/>
  <c r="A78" i="2"/>
  <c r="AJ78" i="2" s="1"/>
  <c r="AO78" i="2" s="1"/>
  <c r="AO77" i="2"/>
  <c r="AN77" i="2"/>
  <c r="AJ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AI77" i="2" s="1"/>
  <c r="K77" i="2"/>
  <c r="AG77" i="2" s="1"/>
  <c r="AL77" i="2" s="1"/>
  <c r="J77" i="2"/>
  <c r="I77" i="2"/>
  <c r="H77" i="2"/>
  <c r="G77" i="2"/>
  <c r="E77" i="2"/>
  <c r="D77" i="2"/>
  <c r="C77" i="2"/>
  <c r="B77" i="2"/>
  <c r="A77" i="2"/>
  <c r="AH77" i="2" s="1"/>
  <c r="AM77" i="2" s="1"/>
  <c r="AF76" i="2"/>
  <c r="AK76" i="2" s="1"/>
  <c r="AE76" i="2"/>
  <c r="AD76" i="2"/>
  <c r="AC76" i="2"/>
  <c r="AB76" i="2"/>
  <c r="AG76" i="2" s="1"/>
  <c r="AL76" i="2" s="1"/>
  <c r="AA76" i="2"/>
  <c r="Z76" i="2"/>
  <c r="Y76" i="2"/>
  <c r="X76" i="2"/>
  <c r="W76" i="2"/>
  <c r="V76" i="2"/>
  <c r="U76" i="2"/>
  <c r="T76" i="2"/>
  <c r="S76" i="2"/>
  <c r="R76" i="2"/>
  <c r="Q76" i="2"/>
  <c r="AI76" i="2" s="1"/>
  <c r="AN76" i="2" s="1"/>
  <c r="P76" i="2"/>
  <c r="O76" i="2"/>
  <c r="N76" i="2"/>
  <c r="M76" i="2"/>
  <c r="L76" i="2"/>
  <c r="K76" i="2"/>
  <c r="J76" i="2"/>
  <c r="AJ76" i="2" s="1"/>
  <c r="AO76" i="2" s="1"/>
  <c r="I76" i="2"/>
  <c r="H76" i="2"/>
  <c r="AH76" i="2" s="1"/>
  <c r="AM76" i="2" s="1"/>
  <c r="G76" i="2"/>
  <c r="E76" i="2"/>
  <c r="D76" i="2"/>
  <c r="C76" i="2"/>
  <c r="B76" i="2"/>
  <c r="A76" i="2"/>
  <c r="AH75" i="2"/>
  <c r="AM75" i="2" s="1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AJ75" i="2" s="1"/>
  <c r="AO75" i="2" s="1"/>
  <c r="I75" i="2"/>
  <c r="H75" i="2"/>
  <c r="G75" i="2"/>
  <c r="E75" i="2"/>
  <c r="D75" i="2"/>
  <c r="C75" i="2"/>
  <c r="B75" i="2"/>
  <c r="A75" i="2"/>
  <c r="AG75" i="2" s="1"/>
  <c r="AL75" i="2" s="1"/>
  <c r="AK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E74" i="2"/>
  <c r="D74" i="2"/>
  <c r="C74" i="2"/>
  <c r="B74" i="2"/>
  <c r="A74" i="2"/>
  <c r="AF74" i="2" s="1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73" i="2"/>
  <c r="D73" i="2"/>
  <c r="C73" i="2"/>
  <c r="B73" i="2"/>
  <c r="A73" i="2"/>
  <c r="AJ73" i="2" s="1"/>
  <c r="AO73" i="2" s="1"/>
  <c r="AG72" i="2"/>
  <c r="AL72" i="2" s="1"/>
  <c r="AF72" i="2"/>
  <c r="AK72" i="2" s="1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AH72" i="2" s="1"/>
  <c r="AM72" i="2" s="1"/>
  <c r="G72" i="2"/>
  <c r="E72" i="2"/>
  <c r="D72" i="2"/>
  <c r="C72" i="2"/>
  <c r="B72" i="2"/>
  <c r="A72" i="2"/>
  <c r="AJ72" i="2" s="1"/>
  <c r="AO72" i="2" s="1"/>
  <c r="AI71" i="2"/>
  <c r="AN71" i="2" s="1"/>
  <c r="AF71" i="2"/>
  <c r="AK71" i="2" s="1"/>
  <c r="AE71" i="2"/>
  <c r="AD71" i="2"/>
  <c r="AC71" i="2"/>
  <c r="AB71" i="2"/>
  <c r="AA71" i="2"/>
  <c r="Z71" i="2"/>
  <c r="Y71" i="2"/>
  <c r="X71" i="2"/>
  <c r="W71" i="2"/>
  <c r="AJ71" i="2" s="1"/>
  <c r="AO71" i="2" s="1"/>
  <c r="V71" i="2"/>
  <c r="U71" i="2"/>
  <c r="T71" i="2"/>
  <c r="S71" i="2"/>
  <c r="R71" i="2"/>
  <c r="Q71" i="2"/>
  <c r="P71" i="2"/>
  <c r="O71" i="2"/>
  <c r="N71" i="2"/>
  <c r="M71" i="2"/>
  <c r="L71" i="2"/>
  <c r="K71" i="2"/>
  <c r="AG71" i="2" s="1"/>
  <c r="AL71" i="2" s="1"/>
  <c r="J71" i="2"/>
  <c r="I71" i="2"/>
  <c r="H71" i="2"/>
  <c r="AH71" i="2" s="1"/>
  <c r="AM71" i="2" s="1"/>
  <c r="G71" i="2"/>
  <c r="E71" i="2"/>
  <c r="D71" i="2"/>
  <c r="C71" i="2"/>
  <c r="B71" i="2"/>
  <c r="A71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AJ70" i="2" s="1"/>
  <c r="AO70" i="2" s="1"/>
  <c r="N70" i="2"/>
  <c r="M70" i="2"/>
  <c r="L70" i="2"/>
  <c r="AI70" i="2" s="1"/>
  <c r="AN70" i="2" s="1"/>
  <c r="K70" i="2"/>
  <c r="AG70" i="2" s="1"/>
  <c r="AL70" i="2" s="1"/>
  <c r="J70" i="2"/>
  <c r="I70" i="2"/>
  <c r="H70" i="2"/>
  <c r="G70" i="2"/>
  <c r="E70" i="2"/>
  <c r="D70" i="2"/>
  <c r="C70" i="2"/>
  <c r="B70" i="2"/>
  <c r="A70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E69" i="2"/>
  <c r="D69" i="2"/>
  <c r="C69" i="2"/>
  <c r="B69" i="2"/>
  <c r="A69" i="2"/>
  <c r="AI68" i="2"/>
  <c r="AN68" i="2" s="1"/>
  <c r="AG68" i="2"/>
  <c r="AL68" i="2" s="1"/>
  <c r="AE68" i="2"/>
  <c r="AD68" i="2"/>
  <c r="AC68" i="2"/>
  <c r="AB68" i="2"/>
  <c r="AA68" i="2"/>
  <c r="Z68" i="2"/>
  <c r="Y68" i="2"/>
  <c r="X68" i="2"/>
  <c r="W68" i="2"/>
  <c r="V68" i="2"/>
  <c r="U68" i="2"/>
  <c r="AH68" i="2" s="1"/>
  <c r="AM68" i="2" s="1"/>
  <c r="T68" i="2"/>
  <c r="S68" i="2"/>
  <c r="R68" i="2"/>
  <c r="Q68" i="2"/>
  <c r="P68" i="2"/>
  <c r="O68" i="2"/>
  <c r="N68" i="2"/>
  <c r="M68" i="2"/>
  <c r="L68" i="2"/>
  <c r="K68" i="2"/>
  <c r="J68" i="2"/>
  <c r="I68" i="2"/>
  <c r="AF68" i="2" s="1"/>
  <c r="AK68" i="2" s="1"/>
  <c r="H68" i="2"/>
  <c r="G68" i="2"/>
  <c r="E68" i="2"/>
  <c r="D68" i="2"/>
  <c r="C68" i="2"/>
  <c r="B68" i="2"/>
  <c r="A68" i="2"/>
  <c r="AJ68" i="2" s="1"/>
  <c r="AO68" i="2" s="1"/>
  <c r="AK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E67" i="2"/>
  <c r="D67" i="2"/>
  <c r="C67" i="2"/>
  <c r="B67" i="2"/>
  <c r="A67" i="2"/>
  <c r="AF67" i="2" s="1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E66" i="2"/>
  <c r="D66" i="2"/>
  <c r="C66" i="2"/>
  <c r="B66" i="2"/>
  <c r="A66" i="2"/>
  <c r="AE65" i="2"/>
  <c r="AD65" i="2"/>
  <c r="AC65" i="2"/>
  <c r="AB65" i="2"/>
  <c r="AG65" i="2" s="1"/>
  <c r="AL65" i="2" s="1"/>
  <c r="AA65" i="2"/>
  <c r="Z65" i="2"/>
  <c r="Y65" i="2"/>
  <c r="X65" i="2"/>
  <c r="W65" i="2"/>
  <c r="V65" i="2"/>
  <c r="U65" i="2"/>
  <c r="T65" i="2"/>
  <c r="S65" i="2"/>
  <c r="AF65" i="2" s="1"/>
  <c r="AK65" i="2" s="1"/>
  <c r="R65" i="2"/>
  <c r="Q65" i="2"/>
  <c r="AI65" i="2" s="1"/>
  <c r="AN65" i="2" s="1"/>
  <c r="P65" i="2"/>
  <c r="O65" i="2"/>
  <c r="N65" i="2"/>
  <c r="M65" i="2"/>
  <c r="L65" i="2"/>
  <c r="K65" i="2"/>
  <c r="J65" i="2"/>
  <c r="I65" i="2"/>
  <c r="H65" i="2"/>
  <c r="AH65" i="2" s="1"/>
  <c r="AM65" i="2" s="1"/>
  <c r="G65" i="2"/>
  <c r="AJ65" i="2" s="1"/>
  <c r="AO65" i="2" s="1"/>
  <c r="E65" i="2"/>
  <c r="D65" i="2"/>
  <c r="C65" i="2"/>
  <c r="B65" i="2"/>
  <c r="A65" i="2"/>
  <c r="AI64" i="2"/>
  <c r="AN64" i="2" s="1"/>
  <c r="AF64" i="2"/>
  <c r="AK64" i="2" s="1"/>
  <c r="AE64" i="2"/>
  <c r="AD64" i="2"/>
  <c r="AC64" i="2"/>
  <c r="AB64" i="2"/>
  <c r="AA64" i="2"/>
  <c r="Z64" i="2"/>
  <c r="Y64" i="2"/>
  <c r="X64" i="2"/>
  <c r="W64" i="2"/>
  <c r="AJ64" i="2" s="1"/>
  <c r="AO64" i="2" s="1"/>
  <c r="V64" i="2"/>
  <c r="U64" i="2"/>
  <c r="T64" i="2"/>
  <c r="S64" i="2"/>
  <c r="R64" i="2"/>
  <c r="Q64" i="2"/>
  <c r="P64" i="2"/>
  <c r="O64" i="2"/>
  <c r="N64" i="2"/>
  <c r="M64" i="2"/>
  <c r="L64" i="2"/>
  <c r="K64" i="2"/>
  <c r="AG64" i="2" s="1"/>
  <c r="AL64" i="2" s="1"/>
  <c r="J64" i="2"/>
  <c r="I64" i="2"/>
  <c r="H64" i="2"/>
  <c r="AH64" i="2" s="1"/>
  <c r="AM64" i="2" s="1"/>
  <c r="G64" i="2"/>
  <c r="E64" i="2"/>
  <c r="D64" i="2"/>
  <c r="C64" i="2"/>
  <c r="B64" i="2"/>
  <c r="A64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E63" i="2"/>
  <c r="D63" i="2"/>
  <c r="C63" i="2"/>
  <c r="B63" i="2"/>
  <c r="A63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E62" i="2"/>
  <c r="D62" i="2"/>
  <c r="C62" i="2"/>
  <c r="B62" i="2"/>
  <c r="A62" i="2"/>
  <c r="AJ62" i="2" s="1"/>
  <c r="AO62" i="2" s="1"/>
  <c r="AI61" i="2"/>
  <c r="AN61" i="2" s="1"/>
  <c r="AG61" i="2"/>
  <c r="AL61" i="2" s="1"/>
  <c r="AE61" i="2"/>
  <c r="AD61" i="2"/>
  <c r="AC61" i="2"/>
  <c r="AB61" i="2"/>
  <c r="AA61" i="2"/>
  <c r="Z61" i="2"/>
  <c r="Y61" i="2"/>
  <c r="X61" i="2"/>
  <c r="W61" i="2"/>
  <c r="V61" i="2"/>
  <c r="U61" i="2"/>
  <c r="AH61" i="2" s="1"/>
  <c r="AM61" i="2" s="1"/>
  <c r="T61" i="2"/>
  <c r="S61" i="2"/>
  <c r="R61" i="2"/>
  <c r="Q61" i="2"/>
  <c r="P61" i="2"/>
  <c r="O61" i="2"/>
  <c r="N61" i="2"/>
  <c r="M61" i="2"/>
  <c r="L61" i="2"/>
  <c r="K61" i="2"/>
  <c r="J61" i="2"/>
  <c r="I61" i="2"/>
  <c r="AF61" i="2" s="1"/>
  <c r="AK61" i="2" s="1"/>
  <c r="H61" i="2"/>
  <c r="G61" i="2"/>
  <c r="E61" i="2"/>
  <c r="D61" i="2"/>
  <c r="C61" i="2"/>
  <c r="B61" i="2"/>
  <c r="A61" i="2"/>
  <c r="AJ61" i="2" s="1"/>
  <c r="AO61" i="2" s="1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AG60" i="2" s="1"/>
  <c r="AL60" i="2" s="1"/>
  <c r="L60" i="2"/>
  <c r="K60" i="2"/>
  <c r="J60" i="2"/>
  <c r="I60" i="2"/>
  <c r="H60" i="2"/>
  <c r="G60" i="2"/>
  <c r="E60" i="2"/>
  <c r="D60" i="2"/>
  <c r="C60" i="2"/>
  <c r="B60" i="2"/>
  <c r="A60" i="2"/>
  <c r="AJ60" i="2" s="1"/>
  <c r="AO60" i="2" s="1"/>
  <c r="AO59" i="2"/>
  <c r="AN59" i="2"/>
  <c r="AJ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AI59" i="2" s="1"/>
  <c r="K59" i="2"/>
  <c r="AG59" i="2" s="1"/>
  <c r="AL59" i="2" s="1"/>
  <c r="J59" i="2"/>
  <c r="I59" i="2"/>
  <c r="H59" i="2"/>
  <c r="G59" i="2"/>
  <c r="E59" i="2"/>
  <c r="D59" i="2"/>
  <c r="C59" i="2"/>
  <c r="B59" i="2"/>
  <c r="A59" i="2"/>
  <c r="AH59" i="2" s="1"/>
  <c r="AM59" i="2" s="1"/>
  <c r="AF58" i="2"/>
  <c r="AK58" i="2" s="1"/>
  <c r="AE58" i="2"/>
  <c r="AD58" i="2"/>
  <c r="AC58" i="2"/>
  <c r="AB58" i="2"/>
  <c r="AG58" i="2" s="1"/>
  <c r="AL58" i="2" s="1"/>
  <c r="AA58" i="2"/>
  <c r="Z58" i="2"/>
  <c r="Y58" i="2"/>
  <c r="X58" i="2"/>
  <c r="W58" i="2"/>
  <c r="V58" i="2"/>
  <c r="U58" i="2"/>
  <c r="T58" i="2"/>
  <c r="S58" i="2"/>
  <c r="R58" i="2"/>
  <c r="Q58" i="2"/>
  <c r="AI58" i="2" s="1"/>
  <c r="AN58" i="2" s="1"/>
  <c r="P58" i="2"/>
  <c r="O58" i="2"/>
  <c r="N58" i="2"/>
  <c r="M58" i="2"/>
  <c r="L58" i="2"/>
  <c r="K58" i="2"/>
  <c r="J58" i="2"/>
  <c r="AJ58" i="2" s="1"/>
  <c r="AO58" i="2" s="1"/>
  <c r="I58" i="2"/>
  <c r="H58" i="2"/>
  <c r="AH58" i="2" s="1"/>
  <c r="AM58" i="2" s="1"/>
  <c r="G58" i="2"/>
  <c r="E58" i="2"/>
  <c r="D58" i="2"/>
  <c r="C58" i="2"/>
  <c r="B58" i="2"/>
  <c r="A58" i="2"/>
  <c r="AH57" i="2"/>
  <c r="AM57" i="2" s="1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AJ57" i="2" s="1"/>
  <c r="AO57" i="2" s="1"/>
  <c r="I57" i="2"/>
  <c r="H57" i="2"/>
  <c r="G57" i="2"/>
  <c r="E57" i="2"/>
  <c r="D57" i="2"/>
  <c r="C57" i="2"/>
  <c r="B57" i="2"/>
  <c r="A57" i="2"/>
  <c r="AG57" i="2" s="1"/>
  <c r="AL57" i="2" s="1"/>
  <c r="AK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E56" i="2"/>
  <c r="D56" i="2"/>
  <c r="C56" i="2"/>
  <c r="B56" i="2"/>
  <c r="A56" i="2"/>
  <c r="AF56" i="2" s="1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E55" i="2"/>
  <c r="D55" i="2"/>
  <c r="C55" i="2"/>
  <c r="B55" i="2"/>
  <c r="A55" i="2"/>
  <c r="AJ55" i="2" s="1"/>
  <c r="AO55" i="2" s="1"/>
  <c r="AG54" i="2"/>
  <c r="AL54" i="2" s="1"/>
  <c r="AF54" i="2"/>
  <c r="AK54" i="2" s="1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AH54" i="2" s="1"/>
  <c r="AM54" i="2" s="1"/>
  <c r="G54" i="2"/>
  <c r="E54" i="2"/>
  <c r="D54" i="2"/>
  <c r="C54" i="2"/>
  <c r="B54" i="2"/>
  <c r="A54" i="2"/>
  <c r="AJ54" i="2" s="1"/>
  <c r="AO54" i="2" s="1"/>
  <c r="AI53" i="2"/>
  <c r="AN53" i="2" s="1"/>
  <c r="AE53" i="2"/>
  <c r="AD53" i="2"/>
  <c r="AC53" i="2"/>
  <c r="AB53" i="2"/>
  <c r="AA53" i="2"/>
  <c r="Z53" i="2"/>
  <c r="Y53" i="2"/>
  <c r="X53" i="2"/>
  <c r="W53" i="2"/>
  <c r="AJ53" i="2" s="1"/>
  <c r="AO53" i="2" s="1"/>
  <c r="V53" i="2"/>
  <c r="U53" i="2"/>
  <c r="T53" i="2"/>
  <c r="S53" i="2"/>
  <c r="AF53" i="2" s="1"/>
  <c r="AK53" i="2" s="1"/>
  <c r="R53" i="2"/>
  <c r="Q53" i="2"/>
  <c r="P53" i="2"/>
  <c r="O53" i="2"/>
  <c r="N53" i="2"/>
  <c r="M53" i="2"/>
  <c r="L53" i="2"/>
  <c r="K53" i="2"/>
  <c r="AG53" i="2" s="1"/>
  <c r="AL53" i="2" s="1"/>
  <c r="J53" i="2"/>
  <c r="I53" i="2"/>
  <c r="H53" i="2"/>
  <c r="AH53" i="2" s="1"/>
  <c r="AM53" i="2" s="1"/>
  <c r="G53" i="2"/>
  <c r="E53" i="2"/>
  <c r="D53" i="2"/>
  <c r="C53" i="2"/>
  <c r="B53" i="2"/>
  <c r="A53" i="2"/>
  <c r="AN52" i="2"/>
  <c r="AI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AJ52" i="2" s="1"/>
  <c r="AO52" i="2" s="1"/>
  <c r="N52" i="2"/>
  <c r="M52" i="2"/>
  <c r="L52" i="2"/>
  <c r="K52" i="2"/>
  <c r="AG52" i="2" s="1"/>
  <c r="AL52" i="2" s="1"/>
  <c r="J52" i="2"/>
  <c r="I52" i="2"/>
  <c r="H52" i="2"/>
  <c r="G52" i="2"/>
  <c r="E52" i="2"/>
  <c r="D52" i="2"/>
  <c r="C52" i="2"/>
  <c r="B52" i="2"/>
  <c r="A52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E51" i="2"/>
  <c r="D51" i="2"/>
  <c r="C51" i="2"/>
  <c r="B51" i="2"/>
  <c r="A51" i="2"/>
  <c r="AI51" i="2" s="1"/>
  <c r="AN51" i="2" s="1"/>
  <c r="AG50" i="2"/>
  <c r="AL50" i="2" s="1"/>
  <c r="AE50" i="2"/>
  <c r="AD50" i="2"/>
  <c r="AC50" i="2"/>
  <c r="AB50" i="2"/>
  <c r="AA50" i="2"/>
  <c r="Z50" i="2"/>
  <c r="Y50" i="2"/>
  <c r="X50" i="2"/>
  <c r="W50" i="2"/>
  <c r="V50" i="2"/>
  <c r="U50" i="2"/>
  <c r="AH50" i="2" s="1"/>
  <c r="AM50" i="2" s="1"/>
  <c r="T50" i="2"/>
  <c r="S50" i="2"/>
  <c r="R50" i="2"/>
  <c r="Q50" i="2"/>
  <c r="AI50" i="2" s="1"/>
  <c r="AN50" i="2" s="1"/>
  <c r="P50" i="2"/>
  <c r="O50" i="2"/>
  <c r="N50" i="2"/>
  <c r="M50" i="2"/>
  <c r="L50" i="2"/>
  <c r="K50" i="2"/>
  <c r="J50" i="2"/>
  <c r="I50" i="2"/>
  <c r="AF50" i="2" s="1"/>
  <c r="AK50" i="2" s="1"/>
  <c r="H50" i="2"/>
  <c r="G50" i="2"/>
  <c r="E50" i="2"/>
  <c r="D50" i="2"/>
  <c r="C50" i="2"/>
  <c r="B50" i="2"/>
  <c r="A50" i="2"/>
  <c r="AJ50" i="2" s="1"/>
  <c r="AO50" i="2" s="1"/>
  <c r="AK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E49" i="2"/>
  <c r="D49" i="2"/>
  <c r="C49" i="2"/>
  <c r="B49" i="2"/>
  <c r="A49" i="2"/>
  <c r="AF49" i="2" s="1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E48" i="2"/>
  <c r="D48" i="2"/>
  <c r="C48" i="2"/>
  <c r="B48" i="2"/>
  <c r="A48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AF47" i="2" s="1"/>
  <c r="AK47" i="2" s="1"/>
  <c r="R47" i="2"/>
  <c r="Q47" i="2"/>
  <c r="AI47" i="2" s="1"/>
  <c r="AN47" i="2" s="1"/>
  <c r="P47" i="2"/>
  <c r="O47" i="2"/>
  <c r="N47" i="2"/>
  <c r="M47" i="2"/>
  <c r="AG47" i="2" s="1"/>
  <c r="AL47" i="2" s="1"/>
  <c r="L47" i="2"/>
  <c r="K47" i="2"/>
  <c r="J47" i="2"/>
  <c r="I47" i="2"/>
  <c r="H47" i="2"/>
  <c r="AH47" i="2" s="1"/>
  <c r="AM47" i="2" s="1"/>
  <c r="G47" i="2"/>
  <c r="AJ47" i="2" s="1"/>
  <c r="AO47" i="2" s="1"/>
  <c r="E47" i="2"/>
  <c r="D47" i="2"/>
  <c r="C47" i="2"/>
  <c r="B47" i="2"/>
  <c r="A47" i="2"/>
  <c r="AI46" i="2"/>
  <c r="AN46" i="2" s="1"/>
  <c r="AE46" i="2"/>
  <c r="AD46" i="2"/>
  <c r="AC46" i="2"/>
  <c r="AB46" i="2"/>
  <c r="AA46" i="2"/>
  <c r="Z46" i="2"/>
  <c r="Y46" i="2"/>
  <c r="X46" i="2"/>
  <c r="W46" i="2"/>
  <c r="AJ46" i="2" s="1"/>
  <c r="AO46" i="2" s="1"/>
  <c r="V46" i="2"/>
  <c r="U46" i="2"/>
  <c r="T46" i="2"/>
  <c r="S46" i="2"/>
  <c r="R46" i="2"/>
  <c r="Q46" i="2"/>
  <c r="P46" i="2"/>
  <c r="O46" i="2"/>
  <c r="N46" i="2"/>
  <c r="M46" i="2"/>
  <c r="L46" i="2"/>
  <c r="K46" i="2"/>
  <c r="AG46" i="2" s="1"/>
  <c r="AL46" i="2" s="1"/>
  <c r="J46" i="2"/>
  <c r="I46" i="2"/>
  <c r="AF46" i="2" s="1"/>
  <c r="AK46" i="2" s="1"/>
  <c r="H46" i="2"/>
  <c r="AH46" i="2" s="1"/>
  <c r="AM46" i="2" s="1"/>
  <c r="G46" i="2"/>
  <c r="E46" i="2"/>
  <c r="D46" i="2"/>
  <c r="C46" i="2"/>
  <c r="B46" i="2"/>
  <c r="A46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E45" i="2"/>
  <c r="D45" i="2"/>
  <c r="C45" i="2"/>
  <c r="B45" i="2"/>
  <c r="A45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E44" i="2"/>
  <c r="D44" i="2"/>
  <c r="C44" i="2"/>
  <c r="B44" i="2"/>
  <c r="A44" i="2"/>
  <c r="AJ44" i="2" s="1"/>
  <c r="AO44" i="2" s="1"/>
  <c r="AG43" i="2"/>
  <c r="AL43" i="2" s="1"/>
  <c r="AE43" i="2"/>
  <c r="AD43" i="2"/>
  <c r="AC43" i="2"/>
  <c r="AB43" i="2"/>
  <c r="AA43" i="2"/>
  <c r="Z43" i="2"/>
  <c r="Y43" i="2"/>
  <c r="X43" i="2"/>
  <c r="W43" i="2"/>
  <c r="V43" i="2"/>
  <c r="U43" i="2"/>
  <c r="AH43" i="2" s="1"/>
  <c r="AM43" i="2" s="1"/>
  <c r="T43" i="2"/>
  <c r="S43" i="2"/>
  <c r="R43" i="2"/>
  <c r="Q43" i="2"/>
  <c r="AI43" i="2" s="1"/>
  <c r="AN43" i="2" s="1"/>
  <c r="P43" i="2"/>
  <c r="O43" i="2"/>
  <c r="N43" i="2"/>
  <c r="M43" i="2"/>
  <c r="L43" i="2"/>
  <c r="K43" i="2"/>
  <c r="J43" i="2"/>
  <c r="I43" i="2"/>
  <c r="AF43" i="2" s="1"/>
  <c r="AK43" i="2" s="1"/>
  <c r="H43" i="2"/>
  <c r="G43" i="2"/>
  <c r="E43" i="2"/>
  <c r="D43" i="2"/>
  <c r="C43" i="2"/>
  <c r="B43" i="2"/>
  <c r="A43" i="2"/>
  <c r="AK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AH42" i="2" s="1"/>
  <c r="AM42" i="2" s="1"/>
  <c r="G42" i="2"/>
  <c r="E42" i="2"/>
  <c r="D42" i="2"/>
  <c r="C42" i="2"/>
  <c r="B42" i="2"/>
  <c r="A42" i="2"/>
  <c r="AJ42" i="2" s="1"/>
  <c r="AO42" i="2" s="1"/>
  <c r="AN41" i="2"/>
  <c r="AI41" i="2"/>
  <c r="AE41" i="2"/>
  <c r="AD41" i="2"/>
  <c r="AC41" i="2"/>
  <c r="AB41" i="2"/>
  <c r="AA41" i="2"/>
  <c r="Z41" i="2"/>
  <c r="Y41" i="2"/>
  <c r="X41" i="2"/>
  <c r="W41" i="2"/>
  <c r="AJ41" i="2" s="1"/>
  <c r="AO41" i="2" s="1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E41" i="2"/>
  <c r="D41" i="2"/>
  <c r="C41" i="2"/>
  <c r="B41" i="2"/>
  <c r="A41" i="2"/>
  <c r="AF40" i="2"/>
  <c r="AK40" i="2" s="1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AI40" i="2" s="1"/>
  <c r="AN40" i="2" s="1"/>
  <c r="P40" i="2"/>
  <c r="O40" i="2"/>
  <c r="N40" i="2"/>
  <c r="M40" i="2"/>
  <c r="AG40" i="2" s="1"/>
  <c r="AL40" i="2" s="1"/>
  <c r="L40" i="2"/>
  <c r="K40" i="2"/>
  <c r="J40" i="2"/>
  <c r="AJ40" i="2" s="1"/>
  <c r="AO40" i="2" s="1"/>
  <c r="I40" i="2"/>
  <c r="H40" i="2"/>
  <c r="AH40" i="2" s="1"/>
  <c r="AM40" i="2" s="1"/>
  <c r="G40" i="2"/>
  <c r="E40" i="2"/>
  <c r="D40" i="2"/>
  <c r="C40" i="2"/>
  <c r="B40" i="2"/>
  <c r="A40" i="2"/>
  <c r="AJ39" i="2"/>
  <c r="AO39" i="2" s="1"/>
  <c r="AH39" i="2"/>
  <c r="AM39" i="2" s="1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AF39" i="2" s="1"/>
  <c r="AK39" i="2" s="1"/>
  <c r="R39" i="2"/>
  <c r="Q39" i="2"/>
  <c r="P39" i="2"/>
  <c r="O39" i="2"/>
  <c r="N39" i="2"/>
  <c r="M39" i="2"/>
  <c r="L39" i="2"/>
  <c r="K39" i="2"/>
  <c r="J39" i="2"/>
  <c r="I39" i="2"/>
  <c r="H39" i="2"/>
  <c r="G39" i="2"/>
  <c r="E39" i="2"/>
  <c r="D39" i="2"/>
  <c r="C39" i="2"/>
  <c r="B39" i="2"/>
  <c r="A39" i="2"/>
  <c r="AG39" i="2" s="1"/>
  <c r="AL39" i="2" s="1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E38" i="2"/>
  <c r="D38" i="2"/>
  <c r="C38" i="2"/>
  <c r="B38" i="2"/>
  <c r="A38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E37" i="2"/>
  <c r="D37" i="2"/>
  <c r="C37" i="2"/>
  <c r="B37" i="2"/>
  <c r="A37" i="2"/>
  <c r="AJ37" i="2" s="1"/>
  <c r="AO37" i="2" s="1"/>
  <c r="AG36" i="2"/>
  <c r="AL36" i="2" s="1"/>
  <c r="AF36" i="2"/>
  <c r="AK36" i="2" s="1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E36" i="2"/>
  <c r="D36" i="2"/>
  <c r="C36" i="2"/>
  <c r="B36" i="2"/>
  <c r="A36" i="2"/>
  <c r="AJ36" i="2" s="1"/>
  <c r="AO36" i="2" s="1"/>
  <c r="AJ35" i="2"/>
  <c r="AO35" i="2" s="1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AF35" i="2" s="1"/>
  <c r="AK35" i="2" s="1"/>
  <c r="R35" i="2"/>
  <c r="Q35" i="2"/>
  <c r="P35" i="2"/>
  <c r="O35" i="2"/>
  <c r="N35" i="2"/>
  <c r="M35" i="2"/>
  <c r="L35" i="2"/>
  <c r="AI35" i="2" s="1"/>
  <c r="AN35" i="2" s="1"/>
  <c r="K35" i="2"/>
  <c r="J35" i="2"/>
  <c r="I35" i="2"/>
  <c r="H35" i="2"/>
  <c r="AH35" i="2" s="1"/>
  <c r="AM35" i="2" s="1"/>
  <c r="G35" i="2"/>
  <c r="E35" i="2"/>
  <c r="D35" i="2"/>
  <c r="C35" i="2"/>
  <c r="B35" i="2"/>
  <c r="A35" i="2"/>
  <c r="AN34" i="2"/>
  <c r="AI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E34" i="2"/>
  <c r="D34" i="2"/>
  <c r="C34" i="2"/>
  <c r="B34" i="2"/>
  <c r="A34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E33" i="2"/>
  <c r="D33" i="2"/>
  <c r="C33" i="2"/>
  <c r="B33" i="2"/>
  <c r="A33" i="2"/>
  <c r="AI33" i="2" s="1"/>
  <c r="AN33" i="2" s="1"/>
  <c r="AI32" i="2"/>
  <c r="AN32" i="2" s="1"/>
  <c r="AH32" i="2"/>
  <c r="AM32" i="2" s="1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E32" i="2"/>
  <c r="D32" i="2"/>
  <c r="C32" i="2"/>
  <c r="B32" i="2"/>
  <c r="A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E31" i="2"/>
  <c r="D31" i="2"/>
  <c r="C31" i="2"/>
  <c r="B31" i="2"/>
  <c r="A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E30" i="2"/>
  <c r="D30" i="2"/>
  <c r="C30" i="2"/>
  <c r="B30" i="2"/>
  <c r="A30" i="2"/>
  <c r="AI29" i="2"/>
  <c r="AN29" i="2" s="1"/>
  <c r="AE29" i="2"/>
  <c r="AD29" i="2"/>
  <c r="AC29" i="2"/>
  <c r="AB29" i="2"/>
  <c r="AA29" i="2"/>
  <c r="Z29" i="2"/>
  <c r="Y29" i="2"/>
  <c r="X29" i="2"/>
  <c r="W29" i="2"/>
  <c r="V29" i="2"/>
  <c r="U29" i="2"/>
  <c r="AH29" i="2" s="1"/>
  <c r="AM29" i="2" s="1"/>
  <c r="T29" i="2"/>
  <c r="S29" i="2"/>
  <c r="R29" i="2"/>
  <c r="Q29" i="2"/>
  <c r="P29" i="2"/>
  <c r="O29" i="2"/>
  <c r="N29" i="2"/>
  <c r="M29" i="2"/>
  <c r="L29" i="2"/>
  <c r="K29" i="2"/>
  <c r="AG29" i="2" s="1"/>
  <c r="AL29" i="2" s="1"/>
  <c r="J29" i="2"/>
  <c r="I29" i="2"/>
  <c r="H29" i="2"/>
  <c r="G29" i="2"/>
  <c r="AJ29" i="2" s="1"/>
  <c r="AO29" i="2" s="1"/>
  <c r="E29" i="2"/>
  <c r="D29" i="2"/>
  <c r="C29" i="2"/>
  <c r="B29" i="2"/>
  <c r="A29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E28" i="2"/>
  <c r="D28" i="2"/>
  <c r="C28" i="2"/>
  <c r="B28" i="2"/>
  <c r="A28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E27" i="2"/>
  <c r="D27" i="2"/>
  <c r="C27" i="2"/>
  <c r="B27" i="2"/>
  <c r="A27" i="2"/>
  <c r="AN26" i="2"/>
  <c r="AI26" i="2"/>
  <c r="AE26" i="2"/>
  <c r="AD26" i="2"/>
  <c r="AC26" i="2"/>
  <c r="AB26" i="2"/>
  <c r="AA26" i="2"/>
  <c r="Z26" i="2"/>
  <c r="Y26" i="2"/>
  <c r="X26" i="2"/>
  <c r="W26" i="2"/>
  <c r="V26" i="2"/>
  <c r="AF26" i="2" s="1"/>
  <c r="AK26" i="2" s="1"/>
  <c r="U26" i="2"/>
  <c r="T26" i="2"/>
  <c r="S26" i="2"/>
  <c r="R26" i="2"/>
  <c r="Q26" i="2"/>
  <c r="P26" i="2"/>
  <c r="AH26" i="2" s="1"/>
  <c r="AM26" i="2" s="1"/>
  <c r="O26" i="2"/>
  <c r="N26" i="2"/>
  <c r="M26" i="2"/>
  <c r="L26" i="2"/>
  <c r="K26" i="2"/>
  <c r="AG26" i="2" s="1"/>
  <c r="AL26" i="2" s="1"/>
  <c r="J26" i="2"/>
  <c r="I26" i="2"/>
  <c r="H26" i="2"/>
  <c r="G26" i="2"/>
  <c r="E26" i="2"/>
  <c r="D26" i="2"/>
  <c r="C26" i="2"/>
  <c r="B26" i="2"/>
  <c r="A26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E25" i="2"/>
  <c r="D25" i="2"/>
  <c r="C25" i="2"/>
  <c r="B25" i="2"/>
  <c r="A25" i="2"/>
  <c r="AJ25" i="2" s="1"/>
  <c r="AO25" i="2" s="1"/>
  <c r="AO24" i="2"/>
  <c r="AJ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E24" i="2"/>
  <c r="D24" i="2"/>
  <c r="C24" i="2"/>
  <c r="B24" i="2"/>
  <c r="A24" i="2"/>
  <c r="AJ23" i="2"/>
  <c r="AO23" i="2" s="1"/>
  <c r="AE23" i="2"/>
  <c r="AD23" i="2"/>
  <c r="AC23" i="2"/>
  <c r="AB23" i="2"/>
  <c r="AA23" i="2"/>
  <c r="Z23" i="2"/>
  <c r="Y23" i="2"/>
  <c r="X23" i="2"/>
  <c r="W23" i="2"/>
  <c r="V23" i="2"/>
  <c r="AF23" i="2" s="1"/>
  <c r="AK23" i="2" s="1"/>
  <c r="U23" i="2"/>
  <c r="T23" i="2"/>
  <c r="S23" i="2"/>
  <c r="R23" i="2"/>
  <c r="Q23" i="2"/>
  <c r="P23" i="2"/>
  <c r="O23" i="2"/>
  <c r="N23" i="2"/>
  <c r="M23" i="2"/>
  <c r="L23" i="2"/>
  <c r="AI23" i="2" s="1"/>
  <c r="AN23" i="2" s="1"/>
  <c r="K23" i="2"/>
  <c r="AG23" i="2" s="1"/>
  <c r="AL23" i="2" s="1"/>
  <c r="J23" i="2"/>
  <c r="I23" i="2"/>
  <c r="H23" i="2"/>
  <c r="AH23" i="2" s="1"/>
  <c r="AM23" i="2" s="1"/>
  <c r="G23" i="2"/>
  <c r="E23" i="2"/>
  <c r="D23" i="2"/>
  <c r="C23" i="2"/>
  <c r="B23" i="2"/>
  <c r="A23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E22" i="2"/>
  <c r="D22" i="2"/>
  <c r="C22" i="2"/>
  <c r="B22" i="2"/>
  <c r="A22" i="2"/>
  <c r="AG22" i="2" s="1"/>
  <c r="AL22" i="2" s="1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E21" i="2"/>
  <c r="D21" i="2"/>
  <c r="C21" i="2"/>
  <c r="B21" i="2"/>
  <c r="A21" i="2"/>
  <c r="AJ20" i="2"/>
  <c r="AO20" i="2" s="1"/>
  <c r="AE20" i="2"/>
  <c r="AD20" i="2"/>
  <c r="AF20" i="2" s="1"/>
  <c r="AK20" i="2" s="1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AI20" i="2" s="1"/>
  <c r="AN20" i="2" s="1"/>
  <c r="K20" i="2"/>
  <c r="AG20" i="2" s="1"/>
  <c r="AL20" i="2" s="1"/>
  <c r="J20" i="2"/>
  <c r="I20" i="2"/>
  <c r="H20" i="2"/>
  <c r="AH20" i="2" s="1"/>
  <c r="AM20" i="2" s="1"/>
  <c r="G20" i="2"/>
  <c r="E20" i="2"/>
  <c r="D20" i="2"/>
  <c r="C20" i="2"/>
  <c r="B20" i="2"/>
  <c r="A20" i="2"/>
  <c r="AF19" i="2"/>
  <c r="AK19" i="2" s="1"/>
  <c r="AE19" i="2"/>
  <c r="AD19" i="2"/>
  <c r="AC19" i="2"/>
  <c r="AB19" i="2"/>
  <c r="AA19" i="2"/>
  <c r="Z19" i="2"/>
  <c r="Y19" i="2"/>
  <c r="X19" i="2"/>
  <c r="W19" i="2"/>
  <c r="V19" i="2"/>
  <c r="U19" i="2"/>
  <c r="T19" i="2"/>
  <c r="AI19" i="2" s="1"/>
  <c r="AN19" i="2" s="1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E19" i="2"/>
  <c r="D19" i="2"/>
  <c r="C19" i="2"/>
  <c r="B19" i="2"/>
  <c r="A19" i="2"/>
  <c r="AH18" i="2"/>
  <c r="AM18" i="2" s="1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AJ18" i="2" s="1"/>
  <c r="AO18" i="2" s="1"/>
  <c r="I18" i="2"/>
  <c r="H18" i="2"/>
  <c r="G18" i="2"/>
  <c r="E18" i="2"/>
  <c r="D18" i="2"/>
  <c r="C18" i="2"/>
  <c r="B18" i="2"/>
  <c r="A18" i="2"/>
  <c r="AF18" i="2" s="1"/>
  <c r="AK18" i="2" s="1"/>
  <c r="AI17" i="2"/>
  <c r="AN17" i="2" s="1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AF17" i="2" s="1"/>
  <c r="AK17" i="2" s="1"/>
  <c r="R17" i="2"/>
  <c r="Q17" i="2"/>
  <c r="P17" i="2"/>
  <c r="O17" i="2"/>
  <c r="N17" i="2"/>
  <c r="M17" i="2"/>
  <c r="L17" i="2"/>
  <c r="K17" i="2"/>
  <c r="J17" i="2"/>
  <c r="I17" i="2"/>
  <c r="H17" i="2"/>
  <c r="AH17" i="2" s="1"/>
  <c r="AM17" i="2" s="1"/>
  <c r="G17" i="2"/>
  <c r="AJ17" i="2" s="1"/>
  <c r="AO17" i="2" s="1"/>
  <c r="E17" i="2"/>
  <c r="D17" i="2"/>
  <c r="C17" i="2"/>
  <c r="B17" i="2"/>
  <c r="A17" i="2"/>
  <c r="AG17" i="2" s="1"/>
  <c r="AL17" i="2" s="1"/>
  <c r="AH16" i="2"/>
  <c r="AM16" i="2" s="1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AF16" i="2" s="1"/>
  <c r="AK16" i="2" s="1"/>
  <c r="H16" i="2"/>
  <c r="G16" i="2"/>
  <c r="E16" i="2"/>
  <c r="D16" i="2"/>
  <c r="C16" i="2"/>
  <c r="B16" i="2"/>
  <c r="A16" i="2"/>
  <c r="AJ16" i="2" s="1"/>
  <c r="AO16" i="2" s="1"/>
  <c r="AE15" i="2"/>
  <c r="AD15" i="2"/>
  <c r="AC15" i="2"/>
  <c r="AB15" i="2"/>
  <c r="AA15" i="2"/>
  <c r="Z15" i="2"/>
  <c r="Y15" i="2"/>
  <c r="X15" i="2"/>
  <c r="W15" i="2"/>
  <c r="AJ15" i="2" s="1"/>
  <c r="AO15" i="2" s="1"/>
  <c r="V15" i="2"/>
  <c r="AF15" i="2" s="1"/>
  <c r="AK15" i="2" s="1"/>
  <c r="U15" i="2"/>
  <c r="T15" i="2"/>
  <c r="S15" i="2"/>
  <c r="R15" i="2"/>
  <c r="Q15" i="2"/>
  <c r="P15" i="2"/>
  <c r="O15" i="2"/>
  <c r="N15" i="2"/>
  <c r="M15" i="2"/>
  <c r="L15" i="2"/>
  <c r="AI15" i="2" s="1"/>
  <c r="AN15" i="2" s="1"/>
  <c r="K15" i="2"/>
  <c r="J15" i="2"/>
  <c r="I15" i="2"/>
  <c r="H15" i="2"/>
  <c r="AH15" i="2" s="1"/>
  <c r="AM15" i="2" s="1"/>
  <c r="G15" i="2"/>
  <c r="E15" i="2"/>
  <c r="D15" i="2"/>
  <c r="C15" i="2"/>
  <c r="B15" i="2"/>
  <c r="A15" i="2"/>
  <c r="AF14" i="2"/>
  <c r="AK14" i="2" s="1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E14" i="2"/>
  <c r="D14" i="2"/>
  <c r="C14" i="2"/>
  <c r="B14" i="2"/>
  <c r="A14" i="2"/>
  <c r="AJ14" i="2" s="1"/>
  <c r="AO14" i="2" s="1"/>
  <c r="AJ13" i="2"/>
  <c r="AO13" i="2" s="1"/>
  <c r="AF13" i="2"/>
  <c r="AK13" i="2" s="1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E13" i="2"/>
  <c r="D13" i="2"/>
  <c r="C13" i="2"/>
  <c r="B13" i="2"/>
  <c r="A13" i="2"/>
  <c r="AI13" i="2" s="1"/>
  <c r="AN13" i="2" s="1"/>
  <c r="AJ12" i="2"/>
  <c r="AO12" i="2" s="1"/>
  <c r="AE12" i="2"/>
  <c r="AD12" i="2"/>
  <c r="AC12" i="2"/>
  <c r="AB12" i="2"/>
  <c r="AA12" i="2"/>
  <c r="Z12" i="2"/>
  <c r="Y12" i="2"/>
  <c r="X12" i="2"/>
  <c r="W12" i="2"/>
  <c r="V12" i="2"/>
  <c r="AF12" i="2" s="1"/>
  <c r="AK12" i="2" s="1"/>
  <c r="U12" i="2"/>
  <c r="T12" i="2"/>
  <c r="S12" i="2"/>
  <c r="R12" i="2"/>
  <c r="Q12" i="2"/>
  <c r="P12" i="2"/>
  <c r="AH12" i="2" s="1"/>
  <c r="AM12" i="2" s="1"/>
  <c r="O12" i="2"/>
  <c r="N12" i="2"/>
  <c r="M12" i="2"/>
  <c r="L12" i="2"/>
  <c r="AI12" i="2" s="1"/>
  <c r="AN12" i="2" s="1"/>
  <c r="K12" i="2"/>
  <c r="J12" i="2"/>
  <c r="I12" i="2"/>
  <c r="H12" i="2"/>
  <c r="G12" i="2"/>
  <c r="E12" i="2"/>
  <c r="D12" i="2"/>
  <c r="C12" i="2"/>
  <c r="B12" i="2"/>
  <c r="A12" i="2"/>
  <c r="AG12" i="2" s="1"/>
  <c r="AL12" i="2" s="1"/>
  <c r="AF11" i="2"/>
  <c r="AK11" i="2" s="1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E11" i="2"/>
  <c r="D11" i="2"/>
  <c r="C11" i="2"/>
  <c r="B11" i="2"/>
  <c r="A11" i="2"/>
  <c r="AJ11" i="2" s="1"/>
  <c r="AO11" i="2" s="1"/>
  <c r="AJ10" i="2"/>
  <c r="AO10" i="2" s="1"/>
  <c r="AF10" i="2"/>
  <c r="AK10" i="2" s="1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10" i="2"/>
  <c r="D10" i="2"/>
  <c r="C10" i="2"/>
  <c r="B10" i="2"/>
  <c r="A10" i="2"/>
  <c r="AI10" i="2" s="1"/>
  <c r="AN10" i="2" s="1"/>
  <c r="AJ9" i="2"/>
  <c r="AO9" i="2" s="1"/>
  <c r="AE9" i="2"/>
  <c r="AD9" i="2"/>
  <c r="AC9" i="2"/>
  <c r="AB9" i="2"/>
  <c r="AA9" i="2"/>
  <c r="Z9" i="2"/>
  <c r="Y9" i="2"/>
  <c r="X9" i="2"/>
  <c r="W9" i="2"/>
  <c r="V9" i="2"/>
  <c r="AF9" i="2" s="1"/>
  <c r="AK9" i="2" s="1"/>
  <c r="U9" i="2"/>
  <c r="T9" i="2"/>
  <c r="S9" i="2"/>
  <c r="R9" i="2"/>
  <c r="Q9" i="2"/>
  <c r="P9" i="2"/>
  <c r="AH9" i="2" s="1"/>
  <c r="AM9" i="2" s="1"/>
  <c r="O9" i="2"/>
  <c r="N9" i="2"/>
  <c r="M9" i="2"/>
  <c r="L9" i="2"/>
  <c r="AI9" i="2" s="1"/>
  <c r="AN9" i="2" s="1"/>
  <c r="K9" i="2"/>
  <c r="J9" i="2"/>
  <c r="I9" i="2"/>
  <c r="H9" i="2"/>
  <c r="G9" i="2"/>
  <c r="E9" i="2"/>
  <c r="D9" i="2"/>
  <c r="C9" i="2"/>
  <c r="B9" i="2"/>
  <c r="A9" i="2"/>
  <c r="AG9" i="2" s="1"/>
  <c r="AL9" i="2" s="1"/>
  <c r="AF8" i="2"/>
  <c r="AK8" i="2" s="1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E8" i="2"/>
  <c r="D8" i="2"/>
  <c r="C8" i="2"/>
  <c r="B8" i="2"/>
  <c r="A8" i="2"/>
  <c r="AJ8" i="2" s="1"/>
  <c r="AO8" i="2" s="1"/>
  <c r="AJ7" i="2"/>
  <c r="AO7" i="2" s="1"/>
  <c r="AF7" i="2"/>
  <c r="AK7" i="2" s="1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E7" i="2"/>
  <c r="D7" i="2"/>
  <c r="C7" i="2"/>
  <c r="B7" i="2"/>
  <c r="A7" i="2"/>
  <c r="AI7" i="2" s="1"/>
  <c r="AN7" i="2" s="1"/>
  <c r="AJ6" i="2"/>
  <c r="AO6" i="2" s="1"/>
  <c r="AE6" i="2"/>
  <c r="AD6" i="2"/>
  <c r="AC6" i="2"/>
  <c r="AB6" i="2"/>
  <c r="AA6" i="2"/>
  <c r="Z6" i="2"/>
  <c r="Y6" i="2"/>
  <c r="X6" i="2"/>
  <c r="W6" i="2"/>
  <c r="V6" i="2"/>
  <c r="AF6" i="2" s="1"/>
  <c r="AK6" i="2" s="1"/>
  <c r="U6" i="2"/>
  <c r="T6" i="2"/>
  <c r="S6" i="2"/>
  <c r="R6" i="2"/>
  <c r="Q6" i="2"/>
  <c r="P6" i="2"/>
  <c r="AH6" i="2" s="1"/>
  <c r="AM6" i="2" s="1"/>
  <c r="O6" i="2"/>
  <c r="N6" i="2"/>
  <c r="M6" i="2"/>
  <c r="L6" i="2"/>
  <c r="AI6" i="2" s="1"/>
  <c r="AN6" i="2" s="1"/>
  <c r="K6" i="2"/>
  <c r="J6" i="2"/>
  <c r="I6" i="2"/>
  <c r="H6" i="2"/>
  <c r="G6" i="2"/>
  <c r="E6" i="2"/>
  <c r="D6" i="2"/>
  <c r="C6" i="2"/>
  <c r="B6" i="2"/>
  <c r="A6" i="2"/>
  <c r="AG6" i="2" s="1"/>
  <c r="AL6" i="2" s="1"/>
  <c r="AF5" i="2"/>
  <c r="AK5" i="2" s="1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E5" i="2"/>
  <c r="D5" i="2"/>
  <c r="C5" i="2"/>
  <c r="B5" i="2"/>
  <c r="A5" i="2"/>
  <c r="AJ5" i="2" s="1"/>
  <c r="AO5" i="2" s="1"/>
  <c r="AJ4" i="2"/>
  <c r="AO4" i="2" s="1"/>
  <c r="AF4" i="2"/>
  <c r="AK4" i="2" s="1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E4" i="2"/>
  <c r="D4" i="2"/>
  <c r="C4" i="2"/>
  <c r="B4" i="2"/>
  <c r="A4" i="2"/>
  <c r="AI4" i="2" s="1"/>
  <c r="AN4" i="2" s="1"/>
  <c r="AJ3" i="2"/>
  <c r="AO3" i="2" s="1"/>
  <c r="AE3" i="2"/>
  <c r="AD3" i="2"/>
  <c r="AC3" i="2"/>
  <c r="AB3" i="2"/>
  <c r="AA3" i="2"/>
  <c r="Z3" i="2"/>
  <c r="Y3" i="2"/>
  <c r="X3" i="2"/>
  <c r="W3" i="2"/>
  <c r="V3" i="2"/>
  <c r="AF3" i="2" s="1"/>
  <c r="AK3" i="2" s="1"/>
  <c r="U3" i="2"/>
  <c r="T3" i="2"/>
  <c r="S3" i="2"/>
  <c r="R3" i="2"/>
  <c r="Q3" i="2"/>
  <c r="P3" i="2"/>
  <c r="AH3" i="2" s="1"/>
  <c r="AM3" i="2" s="1"/>
  <c r="O3" i="2"/>
  <c r="N3" i="2"/>
  <c r="M3" i="2"/>
  <c r="L3" i="2"/>
  <c r="AI3" i="2" s="1"/>
  <c r="AN3" i="2" s="1"/>
  <c r="K3" i="2"/>
  <c r="J3" i="2"/>
  <c r="I3" i="2"/>
  <c r="H3" i="2"/>
  <c r="G3" i="2"/>
  <c r="E3" i="2"/>
  <c r="D3" i="2"/>
  <c r="C3" i="2"/>
  <c r="B3" i="2"/>
  <c r="A3" i="2"/>
  <c r="AG3" i="2" s="1"/>
  <c r="AL3" i="2" s="1"/>
  <c r="AF2" i="2"/>
  <c r="AK2" i="2" s="1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E2" i="2"/>
  <c r="D2" i="2"/>
  <c r="C2" i="2"/>
  <c r="B2" i="2"/>
  <c r="A2" i="2"/>
  <c r="AJ2" i="2" s="1"/>
  <c r="AO2" i="2" s="1"/>
  <c r="Y63" i="3" l="1"/>
  <c r="Y75" i="3"/>
  <c r="Y26" i="3"/>
  <c r="Y13" i="3"/>
  <c r="Y19" i="3"/>
  <c r="Y34" i="3"/>
  <c r="Y31" i="3"/>
  <c r="Y37" i="3"/>
  <c r="Z37" i="3" s="1"/>
  <c r="Y43" i="3"/>
  <c r="Y49" i="3"/>
  <c r="Z49" i="3" s="1"/>
  <c r="Z50" i="3"/>
  <c r="Y62" i="3"/>
  <c r="Z62" i="3" s="1"/>
  <c r="Y99" i="3"/>
  <c r="Z99" i="3" s="1"/>
  <c r="Y111" i="3"/>
  <c r="Z111" i="3" s="1"/>
  <c r="Y41" i="3"/>
  <c r="Y55" i="3"/>
  <c r="Y61" i="3"/>
  <c r="Z61" i="3" s="1"/>
  <c r="Y70" i="3"/>
  <c r="Y79" i="3"/>
  <c r="Y82" i="3"/>
  <c r="Y86" i="3"/>
  <c r="Z86" i="3" s="1"/>
  <c r="Y105" i="3"/>
  <c r="Z105" i="3" s="1"/>
  <c r="Z26" i="3"/>
  <c r="Y46" i="3"/>
  <c r="Y67" i="3"/>
  <c r="Y73" i="3"/>
  <c r="Y85" i="3"/>
  <c r="Z85" i="3" s="1"/>
  <c r="Y91" i="3"/>
  <c r="Y98" i="3"/>
  <c r="Z98" i="3" s="1"/>
  <c r="Z34" i="3"/>
  <c r="Y77" i="3"/>
  <c r="Z77" i="3" s="1"/>
  <c r="Y97" i="3"/>
  <c r="Z97" i="3" s="1"/>
  <c r="Y106" i="3"/>
  <c r="Z106" i="3" s="1"/>
  <c r="Y115" i="3"/>
  <c r="Z115" i="3" s="1"/>
  <c r="Y122" i="3"/>
  <c r="Z122" i="3" s="1"/>
  <c r="Y50" i="3"/>
  <c r="Y87" i="3"/>
  <c r="Y20" i="3"/>
  <c r="Y109" i="3"/>
  <c r="Y121" i="3"/>
  <c r="Z121" i="3" s="1"/>
  <c r="Y5" i="3"/>
  <c r="Z5" i="3" s="1"/>
  <c r="Z19" i="3"/>
  <c r="Z70" i="3"/>
  <c r="Y101" i="3"/>
  <c r="Z101" i="3" s="1"/>
  <c r="Y113" i="3"/>
  <c r="Z113" i="3" s="1"/>
  <c r="Y25" i="3"/>
  <c r="Z25" i="3" s="1"/>
  <c r="Y3" i="3"/>
  <c r="Z3" i="3" s="1"/>
  <c r="Y56" i="3"/>
  <c r="Y125" i="3"/>
  <c r="Z125" i="3" s="1"/>
  <c r="Y15" i="3"/>
  <c r="Z15" i="3" s="1"/>
  <c r="Z55" i="3"/>
  <c r="Z14" i="3"/>
  <c r="Y27" i="3"/>
  <c r="Z27" i="3" s="1"/>
  <c r="Y39" i="3"/>
  <c r="Z41" i="3"/>
  <c r="Y92" i="3"/>
  <c r="Z92" i="3" s="1"/>
  <c r="Y7" i="3"/>
  <c r="Y10" i="3"/>
  <c r="Z13" i="3"/>
  <c r="Y14" i="3"/>
  <c r="Y51" i="3"/>
  <c r="Z51" i="3" s="1"/>
  <c r="Z91" i="3"/>
  <c r="AG19" i="2"/>
  <c r="AL19" i="2" s="1"/>
  <c r="AF38" i="2"/>
  <c r="AK38" i="2" s="1"/>
  <c r="AJ38" i="2"/>
  <c r="AO38" i="2" s="1"/>
  <c r="AI38" i="2"/>
  <c r="AN38" i="2" s="1"/>
  <c r="AH38" i="2"/>
  <c r="AM38" i="2" s="1"/>
  <c r="AG38" i="2"/>
  <c r="AL38" i="2" s="1"/>
  <c r="AI81" i="2"/>
  <c r="AN81" i="2" s="1"/>
  <c r="AG81" i="2"/>
  <c r="AL81" i="2" s="1"/>
  <c r="AF81" i="2"/>
  <c r="AK81" i="2" s="1"/>
  <c r="AJ81" i="2"/>
  <c r="AO81" i="2" s="1"/>
  <c r="AH81" i="2"/>
  <c r="AM81" i="2" s="1"/>
  <c r="AJ93" i="2"/>
  <c r="AO93" i="2" s="1"/>
  <c r="AI93" i="2"/>
  <c r="AN93" i="2" s="1"/>
  <c r="AG93" i="2"/>
  <c r="AL93" i="2" s="1"/>
  <c r="AF93" i="2"/>
  <c r="AK93" i="2" s="1"/>
  <c r="AH93" i="2"/>
  <c r="AM93" i="2" s="1"/>
  <c r="AG28" i="2"/>
  <c r="AL28" i="2" s="1"/>
  <c r="AJ28" i="2"/>
  <c r="AO28" i="2" s="1"/>
  <c r="AH88" i="2"/>
  <c r="AM88" i="2" s="1"/>
  <c r="AI21" i="2"/>
  <c r="AN21" i="2" s="1"/>
  <c r="AH21" i="2"/>
  <c r="AM21" i="2" s="1"/>
  <c r="AG21" i="2"/>
  <c r="AL21" i="2" s="1"/>
  <c r="AG4" i="2"/>
  <c r="AL4" i="2" s="1"/>
  <c r="AG7" i="2"/>
  <c r="AL7" i="2" s="1"/>
  <c r="AG10" i="2"/>
  <c r="AL10" i="2" s="1"/>
  <c r="AG13" i="2"/>
  <c r="AL13" i="2" s="1"/>
  <c r="AI16" i="2"/>
  <c r="AN16" i="2" s="1"/>
  <c r="AG25" i="2"/>
  <c r="AL25" i="2" s="1"/>
  <c r="AI27" i="2"/>
  <c r="AN27" i="2" s="1"/>
  <c r="AH27" i="2"/>
  <c r="AM27" i="2" s="1"/>
  <c r="AG27" i="2"/>
  <c r="AL27" i="2" s="1"/>
  <c r="AF27" i="2"/>
  <c r="AK27" i="2" s="1"/>
  <c r="AI63" i="2"/>
  <c r="AN63" i="2" s="1"/>
  <c r="AG63" i="2"/>
  <c r="AL63" i="2" s="1"/>
  <c r="AF63" i="2"/>
  <c r="AK63" i="2" s="1"/>
  <c r="AJ63" i="2"/>
  <c r="AO63" i="2" s="1"/>
  <c r="AH63" i="2"/>
  <c r="AM63" i="2" s="1"/>
  <c r="AF69" i="2"/>
  <c r="AK69" i="2" s="1"/>
  <c r="AG78" i="2"/>
  <c r="AL78" i="2" s="1"/>
  <c r="AH4" i="2"/>
  <c r="AM4" i="2" s="1"/>
  <c r="AH7" i="2"/>
  <c r="AM7" i="2" s="1"/>
  <c r="AH10" i="2"/>
  <c r="AM10" i="2" s="1"/>
  <c r="AH13" i="2"/>
  <c r="AM13" i="2" s="1"/>
  <c r="AG15" i="2"/>
  <c r="AL15" i="2" s="1"/>
  <c r="AI24" i="2"/>
  <c r="AN24" i="2" s="1"/>
  <c r="AH24" i="2"/>
  <c r="AM24" i="2" s="1"/>
  <c r="AG24" i="2"/>
  <c r="AL24" i="2" s="1"/>
  <c r="AF24" i="2"/>
  <c r="AK24" i="2" s="1"/>
  <c r="AH34" i="2"/>
  <c r="AM34" i="2" s="1"/>
  <c r="AH70" i="2"/>
  <c r="AM70" i="2" s="1"/>
  <c r="AG31" i="2"/>
  <c r="AL31" i="2" s="1"/>
  <c r="AF31" i="2"/>
  <c r="AK31" i="2" s="1"/>
  <c r="AJ31" i="2"/>
  <c r="AO31" i="2" s="1"/>
  <c r="AI31" i="2"/>
  <c r="AN31" i="2" s="1"/>
  <c r="AJ43" i="2"/>
  <c r="AO43" i="2" s="1"/>
  <c r="AH52" i="2"/>
  <c r="AM52" i="2" s="1"/>
  <c r="AI45" i="2"/>
  <c r="AN45" i="2" s="1"/>
  <c r="AG45" i="2"/>
  <c r="AL45" i="2" s="1"/>
  <c r="AF45" i="2"/>
  <c r="AK45" i="2" s="1"/>
  <c r="AJ45" i="2"/>
  <c r="AO45" i="2" s="1"/>
  <c r="AH45" i="2"/>
  <c r="AM45" i="2" s="1"/>
  <c r="AG94" i="2"/>
  <c r="AL94" i="2" s="1"/>
  <c r="AG2" i="2"/>
  <c r="AL2" i="2" s="1"/>
  <c r="AG5" i="2"/>
  <c r="AL5" i="2" s="1"/>
  <c r="AG8" i="2"/>
  <c r="AL8" i="2" s="1"/>
  <c r="AG11" i="2"/>
  <c r="AL11" i="2" s="1"/>
  <c r="AG14" i="2"/>
  <c r="AL14" i="2" s="1"/>
  <c r="AG16" i="2"/>
  <c r="AL16" i="2" s="1"/>
  <c r="AH19" i="2"/>
  <c r="AM19" i="2" s="1"/>
  <c r="AF28" i="2"/>
  <c r="AK28" i="2" s="1"/>
  <c r="AJ32" i="2"/>
  <c r="AO32" i="2" s="1"/>
  <c r="AG42" i="2"/>
  <c r="AL42" i="2" s="1"/>
  <c r="AH2" i="2"/>
  <c r="AM2" i="2" s="1"/>
  <c r="AH5" i="2"/>
  <c r="AM5" i="2" s="1"/>
  <c r="AH8" i="2"/>
  <c r="AM8" i="2" s="1"/>
  <c r="AH11" i="2"/>
  <c r="AM11" i="2" s="1"/>
  <c r="AH14" i="2"/>
  <c r="AM14" i="2" s="1"/>
  <c r="AF21" i="2"/>
  <c r="AK21" i="2" s="1"/>
  <c r="AF22" i="2"/>
  <c r="AK22" i="2" s="1"/>
  <c r="AH28" i="2"/>
  <c r="AM28" i="2" s="1"/>
  <c r="AF29" i="2"/>
  <c r="AK29" i="2" s="1"/>
  <c r="AG41" i="2"/>
  <c r="AL41" i="2" s="1"/>
  <c r="AI2" i="2"/>
  <c r="AN2" i="2" s="1"/>
  <c r="AI5" i="2"/>
  <c r="AN5" i="2" s="1"/>
  <c r="AI8" i="2"/>
  <c r="AN8" i="2" s="1"/>
  <c r="AI11" i="2"/>
  <c r="AN11" i="2" s="1"/>
  <c r="AI14" i="2"/>
  <c r="AN14" i="2" s="1"/>
  <c r="AJ19" i="2"/>
  <c r="AO19" i="2" s="1"/>
  <c r="AJ21" i="2"/>
  <c r="AO21" i="2" s="1"/>
  <c r="AH22" i="2"/>
  <c r="AM22" i="2" s="1"/>
  <c r="AF25" i="2"/>
  <c r="AK25" i="2" s="1"/>
  <c r="AJ26" i="2"/>
  <c r="AO26" i="2" s="1"/>
  <c r="AJ27" i="2"/>
  <c r="AO27" i="2" s="1"/>
  <c r="AI28" i="2"/>
  <c r="AN28" i="2" s="1"/>
  <c r="AF32" i="2"/>
  <c r="AK32" i="2" s="1"/>
  <c r="AH83" i="2"/>
  <c r="AM83" i="2" s="1"/>
  <c r="AI22" i="2"/>
  <c r="AN22" i="2" s="1"/>
  <c r="AH25" i="2"/>
  <c r="AM25" i="2" s="1"/>
  <c r="AJ30" i="2"/>
  <c r="AO30" i="2" s="1"/>
  <c r="AI30" i="2"/>
  <c r="AN30" i="2" s="1"/>
  <c r="AH30" i="2"/>
  <c r="AM30" i="2" s="1"/>
  <c r="AG30" i="2"/>
  <c r="AL30" i="2" s="1"/>
  <c r="AF30" i="2"/>
  <c r="AK30" i="2" s="1"/>
  <c r="AG35" i="2"/>
  <c r="AL35" i="2" s="1"/>
  <c r="AF75" i="2"/>
  <c r="AK75" i="2" s="1"/>
  <c r="AI18" i="2"/>
  <c r="AN18" i="2" s="1"/>
  <c r="AG18" i="2"/>
  <c r="AL18" i="2" s="1"/>
  <c r="AJ22" i="2"/>
  <c r="AO22" i="2" s="1"/>
  <c r="AI25" i="2"/>
  <c r="AN25" i="2" s="1"/>
  <c r="AH31" i="2"/>
  <c r="AM31" i="2" s="1"/>
  <c r="AG32" i="2"/>
  <c r="AL32" i="2" s="1"/>
  <c r="AH41" i="2"/>
  <c r="AM41" i="2" s="1"/>
  <c r="AG49" i="2"/>
  <c r="AL49" i="2" s="1"/>
  <c r="AG56" i="2"/>
  <c r="AL56" i="2" s="1"/>
  <c r="AF60" i="2"/>
  <c r="AK60" i="2" s="1"/>
  <c r="AG67" i="2"/>
  <c r="AL67" i="2" s="1"/>
  <c r="AI69" i="2"/>
  <c r="AN69" i="2" s="1"/>
  <c r="AG74" i="2"/>
  <c r="AL74" i="2" s="1"/>
  <c r="AF78" i="2"/>
  <c r="AK78" i="2" s="1"/>
  <c r="AG85" i="2"/>
  <c r="AL85" i="2" s="1"/>
  <c r="AJ103" i="2"/>
  <c r="AO103" i="2" s="1"/>
  <c r="AG109" i="2"/>
  <c r="AL109" i="2" s="1"/>
  <c r="AJ115" i="2"/>
  <c r="AO115" i="2" s="1"/>
  <c r="Y2" i="3"/>
  <c r="Z2" i="3" s="1"/>
  <c r="Y38" i="3"/>
  <c r="Z38" i="3" s="1"/>
  <c r="Z73" i="3"/>
  <c r="Y74" i="3"/>
  <c r="Z74" i="3" s="1"/>
  <c r="Y103" i="3"/>
  <c r="Z103" i="3" s="1"/>
  <c r="Z109" i="3"/>
  <c r="Y110" i="3"/>
  <c r="Z110" i="3" s="1"/>
  <c r="AJ34" i="2"/>
  <c r="AO34" i="2" s="1"/>
  <c r="AH49" i="2"/>
  <c r="AM49" i="2" s="1"/>
  <c r="AH56" i="2"/>
  <c r="AM56" i="2" s="1"/>
  <c r="AH67" i="2"/>
  <c r="AM67" i="2" s="1"/>
  <c r="AH74" i="2"/>
  <c r="AM74" i="2" s="1"/>
  <c r="AH85" i="2"/>
  <c r="AM85" i="2" s="1"/>
  <c r="AF91" i="2"/>
  <c r="AK91" i="2" s="1"/>
  <c r="AJ116" i="2"/>
  <c r="AO116" i="2" s="1"/>
  <c r="AI116" i="2"/>
  <c r="AN116" i="2" s="1"/>
  <c r="AH116" i="2"/>
  <c r="AM116" i="2" s="1"/>
  <c r="AG116" i="2"/>
  <c r="AL116" i="2" s="1"/>
  <c r="AF116" i="2"/>
  <c r="AK116" i="2" s="1"/>
  <c r="AI48" i="2"/>
  <c r="AN48" i="2" s="1"/>
  <c r="AI49" i="2"/>
  <c r="AN49" i="2" s="1"/>
  <c r="AI56" i="2"/>
  <c r="AN56" i="2" s="1"/>
  <c r="AF57" i="2"/>
  <c r="AK57" i="2" s="1"/>
  <c r="AH60" i="2"/>
  <c r="AM60" i="2" s="1"/>
  <c r="AI66" i="2"/>
  <c r="AN66" i="2" s="1"/>
  <c r="AI67" i="2"/>
  <c r="AN67" i="2" s="1"/>
  <c r="AI74" i="2"/>
  <c r="AN74" i="2" s="1"/>
  <c r="AH78" i="2"/>
  <c r="AM78" i="2" s="1"/>
  <c r="AI84" i="2"/>
  <c r="AN84" i="2" s="1"/>
  <c r="AI85" i="2"/>
  <c r="AN85" i="2" s="1"/>
  <c r="AJ104" i="2"/>
  <c r="AO104" i="2" s="1"/>
  <c r="AH104" i="2"/>
  <c r="AM104" i="2" s="1"/>
  <c r="AG104" i="2"/>
  <c r="AL104" i="2" s="1"/>
  <c r="AF104" i="2"/>
  <c r="AK104" i="2" s="1"/>
  <c r="AJ108" i="2"/>
  <c r="AO108" i="2" s="1"/>
  <c r="AI108" i="2"/>
  <c r="AN108" i="2" s="1"/>
  <c r="AF108" i="2"/>
  <c r="AK108" i="2" s="1"/>
  <c r="AG112" i="2"/>
  <c r="AL112" i="2" s="1"/>
  <c r="AJ119" i="2"/>
  <c r="AO119" i="2" s="1"/>
  <c r="AI119" i="2"/>
  <c r="AN119" i="2" s="1"/>
  <c r="AH119" i="2"/>
  <c r="AM119" i="2" s="1"/>
  <c r="AG119" i="2"/>
  <c r="AL119" i="2" s="1"/>
  <c r="AF119" i="2"/>
  <c r="AK119" i="2" s="1"/>
  <c r="AJ125" i="2"/>
  <c r="AO125" i="2" s="1"/>
  <c r="AI125" i="2"/>
  <c r="AN125" i="2" s="1"/>
  <c r="AH125" i="2"/>
  <c r="AM125" i="2" s="1"/>
  <c r="AG125" i="2"/>
  <c r="AL125" i="2" s="1"/>
  <c r="AF125" i="2"/>
  <c r="AK125" i="2" s="1"/>
  <c r="Y9" i="3"/>
  <c r="Z9" i="3" s="1"/>
  <c r="Y29" i="3"/>
  <c r="Z29" i="3" s="1"/>
  <c r="Z39" i="3"/>
  <c r="Y45" i="3"/>
  <c r="Y65" i="3"/>
  <c r="Z75" i="3"/>
  <c r="Y81" i="3"/>
  <c r="AJ49" i="2"/>
  <c r="AO49" i="2" s="1"/>
  <c r="AJ56" i="2"/>
  <c r="AO56" i="2" s="1"/>
  <c r="AJ67" i="2"/>
  <c r="AO67" i="2" s="1"/>
  <c r="AJ74" i="2"/>
  <c r="AO74" i="2" s="1"/>
  <c r="AJ85" i="2"/>
  <c r="AO85" i="2" s="1"/>
  <c r="AH92" i="2"/>
  <c r="AM92" i="2" s="1"/>
  <c r="AJ121" i="2"/>
  <c r="AO121" i="2" s="1"/>
  <c r="AJ122" i="2"/>
  <c r="AO122" i="2" s="1"/>
  <c r="AI122" i="2"/>
  <c r="AN122" i="2" s="1"/>
  <c r="AH122" i="2"/>
  <c r="AM122" i="2" s="1"/>
  <c r="AG122" i="2"/>
  <c r="AL122" i="2" s="1"/>
  <c r="AF122" i="2"/>
  <c r="AK122" i="2" s="1"/>
  <c r="AJ111" i="2"/>
  <c r="AO111" i="2" s="1"/>
  <c r="Z17" i="3"/>
  <c r="AF33" i="2"/>
  <c r="AK33" i="2" s="1"/>
  <c r="AH36" i="2"/>
  <c r="AM36" i="2" s="1"/>
  <c r="AI42" i="2"/>
  <c r="AN42" i="2" s="1"/>
  <c r="AF51" i="2"/>
  <c r="AK51" i="2" s="1"/>
  <c r="AI60" i="2"/>
  <c r="AN60" i="2" s="1"/>
  <c r="AI78" i="2"/>
  <c r="AN78" i="2" s="1"/>
  <c r="AF87" i="2"/>
  <c r="AK87" i="2" s="1"/>
  <c r="AF94" i="2"/>
  <c r="AK94" i="2" s="1"/>
  <c r="AJ102" i="2"/>
  <c r="AO102" i="2" s="1"/>
  <c r="AI102" i="2"/>
  <c r="AN102" i="2" s="1"/>
  <c r="AF102" i="2"/>
  <c r="AK102" i="2" s="1"/>
  <c r="AJ107" i="2"/>
  <c r="AO107" i="2" s="1"/>
  <c r="AI107" i="2"/>
  <c r="AN107" i="2" s="1"/>
  <c r="AH107" i="2"/>
  <c r="AM107" i="2" s="1"/>
  <c r="AG107" i="2"/>
  <c r="AL107" i="2" s="1"/>
  <c r="AF107" i="2"/>
  <c r="AK107" i="2" s="1"/>
  <c r="Y21" i="3"/>
  <c r="Z21" i="3" s="1"/>
  <c r="Y32" i="3"/>
  <c r="Y57" i="3"/>
  <c r="Z57" i="3" s="1"/>
  <c r="Y68" i="3"/>
  <c r="Z68" i="3" s="1"/>
  <c r="Z87" i="3"/>
  <c r="Y93" i="3"/>
  <c r="Z93" i="3" s="1"/>
  <c r="Y104" i="3"/>
  <c r="Z104" i="3" s="1"/>
  <c r="AG33" i="2"/>
  <c r="AL33" i="2" s="1"/>
  <c r="AF37" i="2"/>
  <c r="AK37" i="2" s="1"/>
  <c r="AF44" i="2"/>
  <c r="AK44" i="2" s="1"/>
  <c r="AG51" i="2"/>
  <c r="AL51" i="2" s="1"/>
  <c r="AF55" i="2"/>
  <c r="AK55" i="2" s="1"/>
  <c r="AF62" i="2"/>
  <c r="AK62" i="2" s="1"/>
  <c r="AG69" i="2"/>
  <c r="AL69" i="2" s="1"/>
  <c r="AF73" i="2"/>
  <c r="AK73" i="2" s="1"/>
  <c r="AF80" i="2"/>
  <c r="AK80" i="2" s="1"/>
  <c r="AG87" i="2"/>
  <c r="AL87" i="2" s="1"/>
  <c r="AG91" i="2"/>
  <c r="AL91" i="2" s="1"/>
  <c r="AJ114" i="2"/>
  <c r="AO114" i="2" s="1"/>
  <c r="AG121" i="2"/>
  <c r="AL121" i="2" s="1"/>
  <c r="AI124" i="2"/>
  <c r="AN124" i="2" s="1"/>
  <c r="Z31" i="3"/>
  <c r="Z67" i="3"/>
  <c r="AH33" i="2"/>
  <c r="AM33" i="2" s="1"/>
  <c r="AG37" i="2"/>
  <c r="AL37" i="2" s="1"/>
  <c r="AI39" i="2"/>
  <c r="AN39" i="2" s="1"/>
  <c r="AG44" i="2"/>
  <c r="AL44" i="2" s="1"/>
  <c r="AF48" i="2"/>
  <c r="AK48" i="2" s="1"/>
  <c r="AH51" i="2"/>
  <c r="AM51" i="2" s="1"/>
  <c r="AG55" i="2"/>
  <c r="AL55" i="2" s="1"/>
  <c r="AI57" i="2"/>
  <c r="AN57" i="2" s="1"/>
  <c r="AG62" i="2"/>
  <c r="AL62" i="2" s="1"/>
  <c r="AF66" i="2"/>
  <c r="AK66" i="2" s="1"/>
  <c r="AH69" i="2"/>
  <c r="AM69" i="2" s="1"/>
  <c r="AG73" i="2"/>
  <c r="AL73" i="2" s="1"/>
  <c r="AI75" i="2"/>
  <c r="AN75" i="2" s="1"/>
  <c r="AG80" i="2"/>
  <c r="AL80" i="2" s="1"/>
  <c r="AF84" i="2"/>
  <c r="AK84" i="2" s="1"/>
  <c r="AH87" i="2"/>
  <c r="AM87" i="2" s="1"/>
  <c r="AH91" i="2"/>
  <c r="AM91" i="2" s="1"/>
  <c r="AH95" i="2"/>
  <c r="AM95" i="2" s="1"/>
  <c r="AJ96" i="2"/>
  <c r="AO96" i="2" s="1"/>
  <c r="AI96" i="2"/>
  <c r="AN96" i="2" s="1"/>
  <c r="AI104" i="2"/>
  <c r="AN104" i="2" s="1"/>
  <c r="AG108" i="2"/>
  <c r="AL108" i="2" s="1"/>
  <c r="Z10" i="3"/>
  <c r="Y22" i="3"/>
  <c r="Z22" i="3" s="1"/>
  <c r="Z46" i="3"/>
  <c r="Y58" i="3"/>
  <c r="Z58" i="3" s="1"/>
  <c r="Z82" i="3"/>
  <c r="Y94" i="3"/>
  <c r="Z94" i="3" s="1"/>
  <c r="AJ33" i="2"/>
  <c r="AO33" i="2" s="1"/>
  <c r="AF34" i="2"/>
  <c r="AK34" i="2" s="1"/>
  <c r="AH37" i="2"/>
  <c r="AM37" i="2" s="1"/>
  <c r="AF41" i="2"/>
  <c r="AK41" i="2" s="1"/>
  <c r="AH44" i="2"/>
  <c r="AM44" i="2" s="1"/>
  <c r="AG48" i="2"/>
  <c r="AL48" i="2" s="1"/>
  <c r="AJ51" i="2"/>
  <c r="AO51" i="2" s="1"/>
  <c r="AF52" i="2"/>
  <c r="AK52" i="2" s="1"/>
  <c r="AH55" i="2"/>
  <c r="AM55" i="2" s="1"/>
  <c r="AF59" i="2"/>
  <c r="AK59" i="2" s="1"/>
  <c r="AH62" i="2"/>
  <c r="AM62" i="2" s="1"/>
  <c r="AG66" i="2"/>
  <c r="AL66" i="2" s="1"/>
  <c r="AJ69" i="2"/>
  <c r="AO69" i="2" s="1"/>
  <c r="AF70" i="2"/>
  <c r="AK70" i="2" s="1"/>
  <c r="AH73" i="2"/>
  <c r="AM73" i="2" s="1"/>
  <c r="AF77" i="2"/>
  <c r="AK77" i="2" s="1"/>
  <c r="AH80" i="2"/>
  <c r="AM80" i="2" s="1"/>
  <c r="AG84" i="2"/>
  <c r="AL84" i="2" s="1"/>
  <c r="AJ87" i="2"/>
  <c r="AO87" i="2" s="1"/>
  <c r="AF88" i="2"/>
  <c r="AK88" i="2" s="1"/>
  <c r="AI91" i="2"/>
  <c r="AN91" i="2" s="1"/>
  <c r="AF92" i="2"/>
  <c r="AK92" i="2" s="1"/>
  <c r="AG97" i="2"/>
  <c r="AL97" i="2" s="1"/>
  <c r="AJ101" i="2"/>
  <c r="AO101" i="2" s="1"/>
  <c r="AH101" i="2"/>
  <c r="AM101" i="2" s="1"/>
  <c r="AG101" i="2"/>
  <c r="AL101" i="2" s="1"/>
  <c r="AF101" i="2"/>
  <c r="AK101" i="2" s="1"/>
  <c r="AG106" i="2"/>
  <c r="AL106" i="2" s="1"/>
  <c r="AH108" i="2"/>
  <c r="AM108" i="2" s="1"/>
  <c r="AJ110" i="2"/>
  <c r="AO110" i="2" s="1"/>
  <c r="AI110" i="2"/>
  <c r="AN110" i="2" s="1"/>
  <c r="AH110" i="2"/>
  <c r="AM110" i="2" s="1"/>
  <c r="AG110" i="2"/>
  <c r="AL110" i="2" s="1"/>
  <c r="AF110" i="2"/>
  <c r="AK110" i="2" s="1"/>
  <c r="AJ117" i="2"/>
  <c r="AO117" i="2" s="1"/>
  <c r="Z45" i="3"/>
  <c r="Z65" i="3"/>
  <c r="Z81" i="3"/>
  <c r="AG34" i="2"/>
  <c r="AL34" i="2" s="1"/>
  <c r="AI36" i="2"/>
  <c r="AN36" i="2" s="1"/>
  <c r="AI37" i="2"/>
  <c r="AN37" i="2" s="1"/>
  <c r="AI44" i="2"/>
  <c r="AN44" i="2" s="1"/>
  <c r="AH48" i="2"/>
  <c r="AM48" i="2" s="1"/>
  <c r="AI54" i="2"/>
  <c r="AN54" i="2" s="1"/>
  <c r="AI55" i="2"/>
  <c r="AN55" i="2" s="1"/>
  <c r="AI62" i="2"/>
  <c r="AN62" i="2" s="1"/>
  <c r="AH66" i="2"/>
  <c r="AM66" i="2" s="1"/>
  <c r="AI72" i="2"/>
  <c r="AN72" i="2" s="1"/>
  <c r="AI73" i="2"/>
  <c r="AN73" i="2" s="1"/>
  <c r="AI80" i="2"/>
  <c r="AN80" i="2" s="1"/>
  <c r="AH84" i="2"/>
  <c r="AM84" i="2" s="1"/>
  <c r="AI90" i="2"/>
  <c r="AN90" i="2" s="1"/>
  <c r="AJ91" i="2"/>
  <c r="AO91" i="2" s="1"/>
  <c r="AH98" i="2"/>
  <c r="AM98" i="2" s="1"/>
  <c r="AJ99" i="2"/>
  <c r="AO99" i="2" s="1"/>
  <c r="AI99" i="2"/>
  <c r="AN99" i="2" s="1"/>
  <c r="AG100" i="2"/>
  <c r="AL100" i="2" s="1"/>
  <c r="AF112" i="2"/>
  <c r="AK112" i="2" s="1"/>
  <c r="AJ120" i="2"/>
  <c r="AO120" i="2" s="1"/>
  <c r="AJ126" i="2"/>
  <c r="AO126" i="2" s="1"/>
  <c r="Y8" i="3"/>
  <c r="Z8" i="3" s="1"/>
  <c r="Y17" i="3"/>
  <c r="Y33" i="3"/>
  <c r="Z33" i="3" s="1"/>
  <c r="Y44" i="3"/>
  <c r="Z44" i="3" s="1"/>
  <c r="Y53" i="3"/>
  <c r="Z53" i="3" s="1"/>
  <c r="Z63" i="3"/>
  <c r="Y69" i="3"/>
  <c r="Z69" i="3" s="1"/>
  <c r="Y80" i="3"/>
  <c r="Z80" i="3" s="1"/>
  <c r="Y89" i="3"/>
  <c r="Z89" i="3" s="1"/>
  <c r="Y116" i="3"/>
  <c r="AJ48" i="2"/>
  <c r="AO48" i="2" s="1"/>
  <c r="AJ66" i="2"/>
  <c r="AO66" i="2" s="1"/>
  <c r="AJ84" i="2"/>
  <c r="AO84" i="2" s="1"/>
  <c r="AI92" i="2"/>
  <c r="AN92" i="2" s="1"/>
  <c r="AJ105" i="2"/>
  <c r="AO105" i="2" s="1"/>
  <c r="AI105" i="2"/>
  <c r="AN105" i="2" s="1"/>
  <c r="AF105" i="2"/>
  <c r="AK105" i="2" s="1"/>
  <c r="AJ113" i="2"/>
  <c r="AO113" i="2" s="1"/>
  <c r="AI113" i="2"/>
  <c r="AN113" i="2" s="1"/>
  <c r="AH113" i="2"/>
  <c r="AM113" i="2" s="1"/>
  <c r="AG113" i="2"/>
  <c r="AL113" i="2" s="1"/>
  <c r="AF113" i="2"/>
  <c r="AK113" i="2" s="1"/>
  <c r="AJ123" i="2"/>
  <c r="AO123" i="2" s="1"/>
  <c r="Z7" i="3"/>
  <c r="Z43" i="3"/>
  <c r="Z79" i="3"/>
  <c r="Z20" i="3"/>
  <c r="Z32" i="3"/>
  <c r="Z56" i="3"/>
  <c r="Z116" i="3"/>
  <c r="Y117" i="3"/>
  <c r="Z117" i="3" s="1"/>
  <c r="Y118" i="3"/>
  <c r="Z118" i="3" s="1"/>
  <c r="Y11" i="3"/>
  <c r="Z11" i="3" s="1"/>
  <c r="Y23" i="3"/>
  <c r="Z23" i="3" s="1"/>
  <c r="Y35" i="3"/>
  <c r="Z35" i="3" s="1"/>
  <c r="Y47" i="3"/>
  <c r="Z47" i="3" s="1"/>
  <c r="Y59" i="3"/>
  <c r="Z59" i="3" s="1"/>
  <c r="Y71" i="3"/>
  <c r="Z71" i="3" s="1"/>
  <c r="Y83" i="3"/>
  <c r="Z83" i="3" s="1"/>
  <c r="Y95" i="3"/>
  <c r="Z95" i="3" s="1"/>
  <c r="Y107" i="3"/>
  <c r="Z107" i="3" s="1"/>
  <c r="Y119" i="3"/>
  <c r="Z119" i="3" s="1"/>
  <c r="Y12" i="3"/>
  <c r="Z12" i="3" s="1"/>
  <c r="Y24" i="3"/>
  <c r="Z24" i="3" s="1"/>
  <c r="Y36" i="3"/>
  <c r="Z36" i="3" s="1"/>
  <c r="Y48" i="3"/>
  <c r="Z48" i="3" s="1"/>
  <c r="Y60" i="3"/>
  <c r="Z60" i="3" s="1"/>
  <c r="Y72" i="3"/>
  <c r="Z72" i="3" s="1"/>
  <c r="Y84" i="3"/>
  <c r="Z84" i="3" s="1"/>
  <c r="Y96" i="3"/>
  <c r="Z96" i="3" s="1"/>
  <c r="Y108" i="3"/>
  <c r="Z108" i="3" s="1"/>
  <c r="Y120" i="3"/>
  <c r="Z120" i="3" s="1"/>
  <c r="AF111" i="2"/>
  <c r="AK111" i="2" s="1"/>
  <c r="AF114" i="2"/>
  <c r="AK114" i="2" s="1"/>
  <c r="AF117" i="2"/>
  <c r="AK117" i="2" s="1"/>
  <c r="Y123" i="3"/>
  <c r="Z123" i="3" s="1"/>
  <c r="AI111" i="2"/>
  <c r="AN111" i="2" s="1"/>
  <c r="AI114" i="2"/>
  <c r="AN114" i="2" s="1"/>
  <c r="AI117" i="2"/>
  <c r="AN117" i="2" s="1"/>
  <c r="AI120" i="2"/>
  <c r="AN120" i="2" s="1"/>
  <c r="AI123" i="2"/>
  <c r="AN123" i="2" s="1"/>
  <c r="AI126" i="2"/>
  <c r="AN126" i="2" s="1"/>
  <c r="Y4" i="3"/>
  <c r="Z4" i="3" s="1"/>
  <c r="Y16" i="3"/>
  <c r="Z16" i="3" s="1"/>
  <c r="Y28" i="3"/>
  <c r="Z28" i="3" s="1"/>
  <c r="Y40" i="3"/>
  <c r="Z40" i="3" s="1"/>
  <c r="Y52" i="3"/>
  <c r="Z52" i="3" s="1"/>
  <c r="Y64" i="3"/>
  <c r="Z64" i="3" s="1"/>
  <c r="Y76" i="3"/>
  <c r="Z76" i="3" s="1"/>
  <c r="Y88" i="3"/>
  <c r="Z88" i="3" s="1"/>
  <c r="Y100" i="3"/>
  <c r="Z100" i="3" s="1"/>
  <c r="Y112" i="3"/>
  <c r="Z112" i="3" s="1"/>
  <c r="Y124" i="3"/>
  <c r="Z124" i="3" s="1"/>
  <c r="AF97" i="2"/>
  <c r="AK97" i="2" s="1"/>
  <c r="AF100" i="2"/>
  <c r="AK100" i="2" s="1"/>
  <c r="AF103" i="2"/>
  <c r="AK103" i="2" s="1"/>
  <c r="AF106" i="2"/>
  <c r="AK106" i="2" s="1"/>
  <c r="AF109" i="2"/>
  <c r="AK109" i="2" s="1"/>
  <c r="AF118" i="2"/>
  <c r="AK118" i="2" s="1"/>
  <c r="AF121" i="2"/>
  <c r="AK121" i="2" s="1"/>
  <c r="AF124" i="2"/>
  <c r="AK124" i="2" s="1"/>
  <c r="AF127" i="2"/>
  <c r="AK127" i="2" s="1"/>
  <c r="AG124" i="2"/>
  <c r="AL124" i="2" s="1"/>
  <c r="AG127" i="2"/>
  <c r="AL127" i="2" s="1"/>
  <c r="Y6" i="3"/>
  <c r="Z6" i="3" s="1"/>
  <c r="Y18" i="3"/>
  <c r="Z18" i="3" s="1"/>
  <c r="Y30" i="3"/>
  <c r="Z30" i="3" s="1"/>
  <c r="Y42" i="3"/>
  <c r="Z42" i="3" s="1"/>
  <c r="Y54" i="3"/>
  <c r="Z54" i="3" s="1"/>
  <c r="Y66" i="3"/>
  <c r="Z66" i="3" s="1"/>
  <c r="Y78" i="3"/>
  <c r="Z78" i="3" s="1"/>
  <c r="Y90" i="3"/>
  <c r="Z90" i="3" s="1"/>
  <c r="Y102" i="3"/>
  <c r="Z102" i="3" s="1"/>
  <c r="Y114" i="3"/>
  <c r="Z114" i="3" s="1"/>
  <c r="Y126" i="3"/>
  <c r="Z126" i="3" s="1"/>
  <c r="Y127" i="3"/>
  <c r="Z127" i="3" s="1"/>
</calcChain>
</file>

<file path=xl/sharedStrings.xml><?xml version="1.0" encoding="utf-8"?>
<sst xmlns="http://schemas.openxmlformats.org/spreadsheetml/2006/main" count="6107" uniqueCount="550">
  <si>
    <t>Submission ID</t>
  </si>
  <si>
    <t>Respondent ID</t>
  </si>
  <si>
    <t>Submitted At</t>
  </si>
  <si>
    <t>Nama</t>
  </si>
  <si>
    <t>Kelas</t>
  </si>
  <si>
    <t>Umur</t>
  </si>
  <si>
    <t>SDQ Q1</t>
  </si>
  <si>
    <t>SDQ Q2</t>
  </si>
  <si>
    <t>SDQ Q3</t>
  </si>
  <si>
    <t>SDQ Q4</t>
  </si>
  <si>
    <t>SDQ Q5</t>
  </si>
  <si>
    <t>SDQ Q6</t>
  </si>
  <si>
    <t>SDQ Q7(R)</t>
  </si>
  <si>
    <t>SDQ Q8</t>
  </si>
  <si>
    <t>SDQ Q9</t>
  </si>
  <si>
    <t>SDQ Q10</t>
  </si>
  <si>
    <t>SDQ Q11(R)</t>
  </si>
  <si>
    <t>SDQ Q12</t>
  </si>
  <si>
    <t>SDQ Q13</t>
  </si>
  <si>
    <t>SDQ Q14(R)</t>
  </si>
  <si>
    <t>SDQ Q15</t>
  </si>
  <si>
    <t>SDQ Q16</t>
  </si>
  <si>
    <t>SDQ Q17</t>
  </si>
  <si>
    <t>SDQ Q18</t>
  </si>
  <si>
    <t>SDQ Q19</t>
  </si>
  <si>
    <t>SDQ Q20</t>
  </si>
  <si>
    <t>SDQ Q21(R)</t>
  </si>
  <si>
    <t>SDQ Q22</t>
  </si>
  <si>
    <t>SDQ Q23</t>
  </si>
  <si>
    <t>SDQ Q24</t>
  </si>
  <si>
    <t>SDQ Q25(R)</t>
  </si>
  <si>
    <t>IAA Q1</t>
  </si>
  <si>
    <t>IAA Q2</t>
  </si>
  <si>
    <t>IAA Q3</t>
  </si>
  <si>
    <t>IAA Q4</t>
  </si>
  <si>
    <t>IAA Q5</t>
  </si>
  <si>
    <t>IAA Q6</t>
  </si>
  <si>
    <t>IAA Q7</t>
  </si>
  <si>
    <t>IAA Q8</t>
  </si>
  <si>
    <t>IAA Q9</t>
  </si>
  <si>
    <t>IAA Q10</t>
  </si>
  <si>
    <t>IAA Q11</t>
  </si>
  <si>
    <t>IAA Q12</t>
  </si>
  <si>
    <t>IAA Q13</t>
  </si>
  <si>
    <t>IAA Q14</t>
  </si>
  <si>
    <t>IAA Q15</t>
  </si>
  <si>
    <t>IAA Q16</t>
  </si>
  <si>
    <t>IAA Q17</t>
  </si>
  <si>
    <t>IAA Q18</t>
  </si>
  <si>
    <t>rDaeWjv</t>
  </si>
  <si>
    <t>GxoM0Oz</t>
  </si>
  <si>
    <t>Farasafa Alzeta</t>
  </si>
  <si>
    <t>XI-1</t>
  </si>
  <si>
    <t>Benar</t>
  </si>
  <si>
    <t>Agak Benar</t>
  </si>
  <si>
    <t>Tidak Benar</t>
  </si>
  <si>
    <t>Sering</t>
  </si>
  <si>
    <t>Kadang - Kadang</t>
  </si>
  <si>
    <t>Jarang</t>
  </si>
  <si>
    <t>Selalu</t>
  </si>
  <si>
    <t>gbdE1PN</t>
  </si>
  <si>
    <t>XxRjYOd</t>
  </si>
  <si>
    <t>Habibah Putri Kawiswara</t>
  </si>
  <si>
    <t>Tidak Pernah</t>
  </si>
  <si>
    <t>M1NW2Ol</t>
  </si>
  <si>
    <t>VL9r1r6</t>
  </si>
  <si>
    <t>Julian</t>
  </si>
  <si>
    <t>9N98jAV</t>
  </si>
  <si>
    <t>RGZObRK</t>
  </si>
  <si>
    <t>Qori Ilyasa Fariduddin Purwadi</t>
  </si>
  <si>
    <t>Eqd2RJ2</t>
  </si>
  <si>
    <t>EkBpN2L</t>
  </si>
  <si>
    <t xml:space="preserve">Kirana Annisa Noegroho </t>
  </si>
  <si>
    <t>BEdrr21</t>
  </si>
  <si>
    <t>Np4zdeW</t>
  </si>
  <si>
    <t>Raffarel Jozka Dafiq Prihantara</t>
  </si>
  <si>
    <t>M1NW06g</t>
  </si>
  <si>
    <t>vG0Rzk0</t>
  </si>
  <si>
    <t xml:space="preserve">Salwa Nafisatul Khoerun Nisa </t>
  </si>
  <si>
    <t>zEykPxa</t>
  </si>
  <si>
    <t>VL9rq96</t>
  </si>
  <si>
    <t xml:space="preserve">Najwa Alya Puteri </t>
  </si>
  <si>
    <t>BEdrMd7</t>
  </si>
  <si>
    <t>Mer0P6k</t>
  </si>
  <si>
    <t xml:space="preserve">Syarifah Lutfia Varisha </t>
  </si>
  <si>
    <t>NqlaGMj</t>
  </si>
  <si>
    <t>ob0JgPM</t>
  </si>
  <si>
    <t xml:space="preserve">Bella Khalwanina Arastya </t>
  </si>
  <si>
    <t>e5QVkve</t>
  </si>
  <si>
    <t>RGZO2Ov</t>
  </si>
  <si>
    <t xml:space="preserve">Nabila Putri Herawati </t>
  </si>
  <si>
    <t>kbe2MX6</t>
  </si>
  <si>
    <t>dWZ7pEd</t>
  </si>
  <si>
    <t>Arsyita</t>
  </si>
  <si>
    <t>4aJMgJX</t>
  </si>
  <si>
    <t>xX0Go49</t>
  </si>
  <si>
    <t>Maya Rosela Wati</t>
  </si>
  <si>
    <t>OQ46WJA</t>
  </si>
  <si>
    <t>D4XLY9Z</t>
  </si>
  <si>
    <t xml:space="preserve">Danna Arya Dewanta </t>
  </si>
  <si>
    <t>zEykaz1</t>
  </si>
  <si>
    <t>kd0Lppo</t>
  </si>
  <si>
    <t>Naila Kintan Azizti</t>
  </si>
  <si>
    <t>rDaexJX</t>
  </si>
  <si>
    <t>pb0gMEb</t>
  </si>
  <si>
    <t>Ale</t>
  </si>
  <si>
    <t>Yj01LN0</t>
  </si>
  <si>
    <t>2Eb2549</t>
  </si>
  <si>
    <t>Muhammad Ghozi Fakhruddin</t>
  </si>
  <si>
    <t>Kp59768</t>
  </si>
  <si>
    <t>b52aGzE</t>
  </si>
  <si>
    <t>Siti Aisha Fakhira</t>
  </si>
  <si>
    <t>7XLQRXA</t>
  </si>
  <si>
    <t>Np4z9LN</t>
  </si>
  <si>
    <t>Quinsha Asyalinna Darmawan</t>
  </si>
  <si>
    <t>DqkLqGb</t>
  </si>
  <si>
    <t>ja0z4Mx</t>
  </si>
  <si>
    <t>Shakila Ratnaduhita Nitisari</t>
  </si>
  <si>
    <t>Ge9MeAj</t>
  </si>
  <si>
    <t>LZE8jZz</t>
  </si>
  <si>
    <t>Fadilah Mustika Nabilla Umar</t>
  </si>
  <si>
    <t>XI-2</t>
  </si>
  <si>
    <t>2ja2XbA</t>
  </si>
  <si>
    <t>xX0G7gE</t>
  </si>
  <si>
    <t>Mifta Alifa</t>
  </si>
  <si>
    <t>Ar2kzxk</t>
  </si>
  <si>
    <t>WOe461Q</t>
  </si>
  <si>
    <t>KHANSA AURELIA BIAS KAMILA</t>
  </si>
  <si>
    <t>Ar2kz0y</t>
  </si>
  <si>
    <t>9q6eYjV</t>
  </si>
  <si>
    <t>Puput Mozza Kirana</t>
  </si>
  <si>
    <t>peygd6y</t>
  </si>
  <si>
    <t>VL9r7ej</t>
  </si>
  <si>
    <t xml:space="preserve">Keyza </t>
  </si>
  <si>
    <t>aO5We7B</t>
  </si>
  <si>
    <t>7RJQ7qA</t>
  </si>
  <si>
    <t>Syifa Rasendriya Hakim</t>
  </si>
  <si>
    <t>1Wdj424</t>
  </si>
  <si>
    <t>QKxGlO1</t>
  </si>
  <si>
    <t>Azahra Nabila Revandya</t>
  </si>
  <si>
    <t>je6KlbJ</t>
  </si>
  <si>
    <t>2Eb26P9</t>
  </si>
  <si>
    <t xml:space="preserve">Adra Alditya </t>
  </si>
  <si>
    <t>laep6xW</t>
  </si>
  <si>
    <t>eqNbXkO</t>
  </si>
  <si>
    <t>Ghina Aulia Rahma</t>
  </si>
  <si>
    <t>BEdvkX4</t>
  </si>
  <si>
    <t>9q6e8dK</t>
  </si>
  <si>
    <t xml:space="preserve">Siti Nur Fittri Astuti </t>
  </si>
  <si>
    <t>o9eJMg1</t>
  </si>
  <si>
    <t>yP0OBk4</t>
  </si>
  <si>
    <t>Allena Shafira Putri Novelita</t>
  </si>
  <si>
    <t>kbeLyWd</t>
  </si>
  <si>
    <t>b52aarE</t>
  </si>
  <si>
    <t xml:space="preserve">Nismara Zhafira Sahasika </t>
  </si>
  <si>
    <t>Ar2kld0</t>
  </si>
  <si>
    <t>eqNb46e</t>
  </si>
  <si>
    <t>Fico Evan Evorius G</t>
  </si>
  <si>
    <t>yX2Oxqd</t>
  </si>
  <si>
    <t>Y5o2Ed6</t>
  </si>
  <si>
    <t xml:space="preserve">Aqila Dewi Pangesti </t>
  </si>
  <si>
    <t>1WdjMD1</t>
  </si>
  <si>
    <t>1AbjZ24</t>
  </si>
  <si>
    <t>Manggihi Aura</t>
  </si>
  <si>
    <t>xVMGyay</t>
  </si>
  <si>
    <t>MerBKDk</t>
  </si>
  <si>
    <t>Risang Daiyan S.</t>
  </si>
  <si>
    <t>LD78Y0G</t>
  </si>
  <si>
    <t>RGZpKP9</t>
  </si>
  <si>
    <t>Ghania Rajni</t>
  </si>
  <si>
    <t>laepWZN</t>
  </si>
  <si>
    <t>XxRXlze</t>
  </si>
  <si>
    <t>Natasha Almeira</t>
  </si>
  <si>
    <t>aO5WD2X</t>
  </si>
  <si>
    <t>44154ao</t>
  </si>
  <si>
    <t>Ardin Adiwityandana</t>
  </si>
  <si>
    <t>0VB4J4N</t>
  </si>
  <si>
    <t>Y5o85BN</t>
  </si>
  <si>
    <t>Khansa Tiara Danayafutri</t>
  </si>
  <si>
    <t>8Na9pgo</t>
  </si>
  <si>
    <t>Np4kqdB</t>
  </si>
  <si>
    <t xml:space="preserve">FIKI DEA LESTARI </t>
  </si>
  <si>
    <t>aO5WrRX</t>
  </si>
  <si>
    <t>5BlRXoP</t>
  </si>
  <si>
    <t xml:space="preserve">Andhiera Bhara Harry Putra </t>
  </si>
  <si>
    <t>VpQr9Gv</t>
  </si>
  <si>
    <t>eqN454x</t>
  </si>
  <si>
    <t xml:space="preserve">Lutfiya Putri Ammara </t>
  </si>
  <si>
    <t>5XjNlGQ</t>
  </si>
  <si>
    <t>vG0kMyA</t>
  </si>
  <si>
    <t xml:space="preserve">Wildan Alfarras </t>
  </si>
  <si>
    <t>Eqdp8kB</t>
  </si>
  <si>
    <t>WOey2WP</t>
  </si>
  <si>
    <t xml:space="preserve">Darin Raihana Lutfiyah </t>
  </si>
  <si>
    <t>je6KGzQ</t>
  </si>
  <si>
    <t>zx0lNJ1</t>
  </si>
  <si>
    <t>Maishe Nasywa Zabrina</t>
  </si>
  <si>
    <t>Eqdp8jL</t>
  </si>
  <si>
    <t>ZjG0obo</t>
  </si>
  <si>
    <t>sabrina maryam</t>
  </si>
  <si>
    <t>yX2Ojq4</t>
  </si>
  <si>
    <t>7RJGLNa</t>
  </si>
  <si>
    <t>Dzakia Nayla</t>
  </si>
  <si>
    <t>xVMGRbk</t>
  </si>
  <si>
    <t>XxRXo2j</t>
  </si>
  <si>
    <t>Julia Ayuni</t>
  </si>
  <si>
    <t>yX2OdE8</t>
  </si>
  <si>
    <t>J9V7Od4</t>
  </si>
  <si>
    <t xml:space="preserve">Briliana Okta Himawari </t>
  </si>
  <si>
    <t>Ge9MQV2</t>
  </si>
  <si>
    <t>pb0aDR1</t>
  </si>
  <si>
    <t>Hafizh Al Hakim</t>
  </si>
  <si>
    <t>XI-3</t>
  </si>
  <si>
    <t>xVMGvJy</t>
  </si>
  <si>
    <t>q4Y6R9k</t>
  </si>
  <si>
    <t>Khansa Shabihah Humaira</t>
  </si>
  <si>
    <t>o9eJvRe</t>
  </si>
  <si>
    <t>xX0KJq9</t>
  </si>
  <si>
    <t>Javindra Huga</t>
  </si>
  <si>
    <t>aO5WzEq</t>
  </si>
  <si>
    <t>rj07Ajp</t>
  </si>
  <si>
    <t>Made Viona A.I.S.</t>
  </si>
  <si>
    <t>je6Kzp1</t>
  </si>
  <si>
    <t>vG0ky20</t>
  </si>
  <si>
    <t>Bima Saengga Cipta</t>
  </si>
  <si>
    <t>9N9e4KQ</t>
  </si>
  <si>
    <t>zx0lDG1</t>
  </si>
  <si>
    <t>Wigaraya Wibowo</t>
  </si>
  <si>
    <t>Ge9M7Qo</t>
  </si>
  <si>
    <t>gDQ20qK</t>
  </si>
  <si>
    <t xml:space="preserve">MUHAMMAD KENZEY MAUREY KENAZ KUSNADI </t>
  </si>
  <si>
    <t>Kp5XOxk</t>
  </si>
  <si>
    <t>D4XQNRX</t>
  </si>
  <si>
    <t>sakti dizam satya c</t>
  </si>
  <si>
    <t>gbdBgzl</t>
  </si>
  <si>
    <t>XxRXe0O</t>
  </si>
  <si>
    <t>Satriyo Rahman Astratama</t>
  </si>
  <si>
    <t>Kp5Xgok</t>
  </si>
  <si>
    <t>A76ZlEo</t>
  </si>
  <si>
    <t>Muhammad Pratama Ardyansyah</t>
  </si>
  <si>
    <t>Eqdpgoo</t>
  </si>
  <si>
    <t>1Ab8KJO</t>
  </si>
  <si>
    <t>Muhammad Rafa Reza Aryananta</t>
  </si>
  <si>
    <t>OQ4RyDM</t>
  </si>
  <si>
    <t>ODjvPgY</t>
  </si>
  <si>
    <t>Aryasatya Candra Adirajasa</t>
  </si>
  <si>
    <t>LD78ybv</t>
  </si>
  <si>
    <t>eqN4AWO</t>
  </si>
  <si>
    <t xml:space="preserve">DEWI PUSPITASARI </t>
  </si>
  <si>
    <t>aO5WovW</t>
  </si>
  <si>
    <t>5BlR24Q</t>
  </si>
  <si>
    <t>Nur Fadlillah</t>
  </si>
  <si>
    <t>laepZ8k</t>
  </si>
  <si>
    <t>ja0NxWx</t>
  </si>
  <si>
    <t>alfad dan nuel</t>
  </si>
  <si>
    <t>0VB4gEP</t>
  </si>
  <si>
    <t>Pd2KlQx</t>
  </si>
  <si>
    <t>Kayla Nayma Nursena</t>
  </si>
  <si>
    <t>q5DyXDY</t>
  </si>
  <si>
    <t>pb0aW5q</t>
  </si>
  <si>
    <t>Dyah Ayu</t>
  </si>
  <si>
    <t>yX2Oro8</t>
  </si>
  <si>
    <t>pb0aWl1</t>
  </si>
  <si>
    <t xml:space="preserve">shelva ayu oktabella </t>
  </si>
  <si>
    <t>5XjNorE</t>
  </si>
  <si>
    <t>pb0a7rB</t>
  </si>
  <si>
    <t>Ferrely Shidqi Aqila Arif</t>
  </si>
  <si>
    <t>WJE46Rv</t>
  </si>
  <si>
    <t>vG0kOgl</t>
  </si>
  <si>
    <t xml:space="preserve">Angelin Damai Gracea </t>
  </si>
  <si>
    <t>1WdjYbO</t>
  </si>
  <si>
    <t>7RJGVyL</t>
  </si>
  <si>
    <t>Rachel Okta Fiona</t>
  </si>
  <si>
    <t>NqlzxyO</t>
  </si>
  <si>
    <t>D4XQvBE</t>
  </si>
  <si>
    <t>Eriansyah al hafidz Husain</t>
  </si>
  <si>
    <t>7XLQ09P</t>
  </si>
  <si>
    <t>ja0N9A4</t>
  </si>
  <si>
    <t>Charen Chatarina C</t>
  </si>
  <si>
    <t>laep21V</t>
  </si>
  <si>
    <t>VL9g9Gl</t>
  </si>
  <si>
    <t xml:space="preserve">karim lestya azzahra </t>
  </si>
  <si>
    <t>aO5WJJZ</t>
  </si>
  <si>
    <t>1Ab8b94</t>
  </si>
  <si>
    <t>Shelomytha Jenia Putri</t>
  </si>
  <si>
    <t>7XLQrd9</t>
  </si>
  <si>
    <t>RGZp8gd</t>
  </si>
  <si>
    <t>Ekklesia Christy</t>
  </si>
  <si>
    <t>1Wdjo2b</t>
  </si>
  <si>
    <t>GxoWYV2</t>
  </si>
  <si>
    <t>Nameera Hilwa Fathma</t>
  </si>
  <si>
    <t>WJE4Vka</t>
  </si>
  <si>
    <t>Np4kMpj</t>
  </si>
  <si>
    <t>Salma Taqiyyatunnisa</t>
  </si>
  <si>
    <t>8Na9lol</t>
  </si>
  <si>
    <t>ob0WKdM</t>
  </si>
  <si>
    <t xml:space="preserve">Aquilla Keyza Rahardian Alfariz </t>
  </si>
  <si>
    <t>9N9eKqE</t>
  </si>
  <si>
    <t>kd0qKWj</t>
  </si>
  <si>
    <t xml:space="preserve">Muthia Orshida Ibrohim </t>
  </si>
  <si>
    <t>je6KVBx</t>
  </si>
  <si>
    <t>GxoWX7L</t>
  </si>
  <si>
    <t xml:space="preserve">R. Raihan Pratama </t>
  </si>
  <si>
    <t>rDaXZGp</t>
  </si>
  <si>
    <t>GxoWXOo</t>
  </si>
  <si>
    <t xml:space="preserve">Patricia Estherias Kusuma </t>
  </si>
  <si>
    <t>RWMO9VQ</t>
  </si>
  <si>
    <t>yP0Lja0</t>
  </si>
  <si>
    <t>Nandana Arfa Hanani</t>
  </si>
  <si>
    <t>q5Dyl2d</t>
  </si>
  <si>
    <t>b52PYlL</t>
  </si>
  <si>
    <t xml:space="preserve">Ulfia Sa'adatun Ni'mah </t>
  </si>
  <si>
    <t>X5JjpgO</t>
  </si>
  <si>
    <t>lb0QMxN</t>
  </si>
  <si>
    <t>Elice Benita M.</t>
  </si>
  <si>
    <t>7XLQQXP</t>
  </si>
  <si>
    <t>RGZpk4Q</t>
  </si>
  <si>
    <t>Muhammad Revano Boutista</t>
  </si>
  <si>
    <t>q5Dy6v5</t>
  </si>
  <si>
    <t>kd0qzQ1</t>
  </si>
  <si>
    <t xml:space="preserve">Fachri Maulana Syihab </t>
  </si>
  <si>
    <t>zEyVlpE</t>
  </si>
  <si>
    <t>MerBGNk</t>
  </si>
  <si>
    <t>mayra larasati</t>
  </si>
  <si>
    <t>BEdNdDN</t>
  </si>
  <si>
    <t>D4XQOVq</t>
  </si>
  <si>
    <t xml:space="preserve">Jessica Sonang Patricia Simangunsong </t>
  </si>
  <si>
    <t>Yj08455</t>
  </si>
  <si>
    <t>xX0K8Ar</t>
  </si>
  <si>
    <t>kinanthi A. P. Y</t>
  </si>
  <si>
    <t>WJExzNe</t>
  </si>
  <si>
    <t>KYPdrXK</t>
  </si>
  <si>
    <t>Novia Rahma</t>
  </si>
  <si>
    <t>Eqdyypr</t>
  </si>
  <si>
    <t>zx0aL4q</t>
  </si>
  <si>
    <t>Muhammad Faizan</t>
  </si>
  <si>
    <t>peyl7MB</t>
  </si>
  <si>
    <t>LZEQRQO</t>
  </si>
  <si>
    <t>adhi nugroho</t>
  </si>
  <si>
    <t>XI-4</t>
  </si>
  <si>
    <t>kbeVRYR</t>
  </si>
  <si>
    <t>81J002o</t>
  </si>
  <si>
    <t>BA'IQ SAFARINA DAMAYANTI</t>
  </si>
  <si>
    <t>laePlXN</t>
  </si>
  <si>
    <t>lb0PobW</t>
  </si>
  <si>
    <t>Atikah Nuha</t>
  </si>
  <si>
    <t>Eqd4Bb4</t>
  </si>
  <si>
    <t>1Ab1ZgO</t>
  </si>
  <si>
    <t>Aldo Damar Djati</t>
  </si>
  <si>
    <t>vXeQqZX</t>
  </si>
  <si>
    <t>ob0rbDx</t>
  </si>
  <si>
    <t xml:space="preserve">Abdullah Azizi </t>
  </si>
  <si>
    <t>Kp5qvPz</t>
  </si>
  <si>
    <t>yP0KPRX</t>
  </si>
  <si>
    <t xml:space="preserve">saena dwi febriani </t>
  </si>
  <si>
    <t>peylJpJ</t>
  </si>
  <si>
    <t>ja0dZDR</t>
  </si>
  <si>
    <t xml:space="preserve">Davian Alvin Mardika </t>
  </si>
  <si>
    <t>4aJgzXk</t>
  </si>
  <si>
    <t>KYP7e1M</t>
  </si>
  <si>
    <t xml:space="preserve">Maresta Rakha Rashendra </t>
  </si>
  <si>
    <t>9N9zMZ1</t>
  </si>
  <si>
    <t>ja0dbxY</t>
  </si>
  <si>
    <t xml:space="preserve">Malka Geraldo Ravantino Ananto </t>
  </si>
  <si>
    <t>J1pNMZY</t>
  </si>
  <si>
    <t>1AbZkeL</t>
  </si>
  <si>
    <t xml:space="preserve">Rinanda Puspita Sari Cahya Nugraha </t>
  </si>
  <si>
    <t>zEyad7q</t>
  </si>
  <si>
    <t>rj0NaEM</t>
  </si>
  <si>
    <t>Juanita Bintang Kastyawati</t>
  </si>
  <si>
    <t>RWM7jpv</t>
  </si>
  <si>
    <t>gDQyqbM</t>
  </si>
  <si>
    <t>Fajar Afghan Rahmadhani</t>
  </si>
  <si>
    <t>kbeVzDZ</t>
  </si>
  <si>
    <t>rj0NOBX</t>
  </si>
  <si>
    <t>Muhammad Syabil Arkan</t>
  </si>
  <si>
    <t>zEyab70</t>
  </si>
  <si>
    <t>Y5oEGOB</t>
  </si>
  <si>
    <t>Amanda Faaizah</t>
  </si>
  <si>
    <t>xVMegav</t>
  </si>
  <si>
    <t>b52BWO1</t>
  </si>
  <si>
    <t>Muhammad Chandra Afrianto</t>
  </si>
  <si>
    <t>X5JK9Xg</t>
  </si>
  <si>
    <t>rj0NoNN</t>
  </si>
  <si>
    <t>Muhammad Rizqi</t>
  </si>
  <si>
    <t>Ge92glz</t>
  </si>
  <si>
    <t>rj0NPlL</t>
  </si>
  <si>
    <t xml:space="preserve">Azain </t>
  </si>
  <si>
    <t>dba5V7N</t>
  </si>
  <si>
    <t>WOeG5yP</t>
  </si>
  <si>
    <t xml:space="preserve">Rafika Nur Istiqomah </t>
  </si>
  <si>
    <t>1Wd1yAg</t>
  </si>
  <si>
    <t>D4XrNqE</t>
  </si>
  <si>
    <t xml:space="preserve">Nailal Izzah Ramadhani </t>
  </si>
  <si>
    <t>Nqle970</t>
  </si>
  <si>
    <t>b52Ble0</t>
  </si>
  <si>
    <t>Immanuel Jacob</t>
  </si>
  <si>
    <t>rDaxbKN</t>
  </si>
  <si>
    <t>ja0dBMJ</t>
  </si>
  <si>
    <t>Muhammad Razan Ghani Syamputra</t>
  </si>
  <si>
    <t>VpQka8l</t>
  </si>
  <si>
    <t>ob0rOyV</t>
  </si>
  <si>
    <t>Rizky Widiantoro</t>
  </si>
  <si>
    <t>rDaxQQM</t>
  </si>
  <si>
    <t>1AbZEyp</t>
  </si>
  <si>
    <t>Salsabila Fauziah Qud</t>
  </si>
  <si>
    <t>6DjX0Re</t>
  </si>
  <si>
    <t>eqN1L6e</t>
  </si>
  <si>
    <t xml:space="preserve">Kevin Arya Dhana </t>
  </si>
  <si>
    <t>0VBp0DA</t>
  </si>
  <si>
    <t>XxRVERO</t>
  </si>
  <si>
    <t>Galang Revand I</t>
  </si>
  <si>
    <t>rDax8BX</t>
  </si>
  <si>
    <t>ja0dLdR</t>
  </si>
  <si>
    <t>Rafka Fausta Dwi Darmawan</t>
  </si>
  <si>
    <t>o9e48Rb</t>
  </si>
  <si>
    <t>GxoNDv2</t>
  </si>
  <si>
    <t>Evano Wisha Argiant</t>
  </si>
  <si>
    <t>yX2W5P0</t>
  </si>
  <si>
    <t>yP0KvOx</t>
  </si>
  <si>
    <t xml:space="preserve">Silvyana Putri Ramadhani </t>
  </si>
  <si>
    <t>2jaMG2D</t>
  </si>
  <si>
    <t>kd0D74J</t>
  </si>
  <si>
    <t>ahsan alvaro</t>
  </si>
  <si>
    <t>q5D2rA7</t>
  </si>
  <si>
    <t>KYP7PYD</t>
  </si>
  <si>
    <t xml:space="preserve">faden </t>
  </si>
  <si>
    <t>zEyap8k</t>
  </si>
  <si>
    <t>KYP7G8V</t>
  </si>
  <si>
    <t>Fira Abellina Saputri</t>
  </si>
  <si>
    <t>xVMkVAy</t>
  </si>
  <si>
    <t>5Bl6QEd</t>
  </si>
  <si>
    <t xml:space="preserve">Ahmad Faiq Putra Oemardi </t>
  </si>
  <si>
    <t>VpQR0lv</t>
  </si>
  <si>
    <t>WOeGadv</t>
  </si>
  <si>
    <t>M Nadzhif Habibul M</t>
  </si>
  <si>
    <t>Gepxgbz</t>
  </si>
  <si>
    <t>zxWENP0</t>
  </si>
  <si>
    <t>Safira Rahma Rajabiya</t>
  </si>
  <si>
    <t>Skor Q1</t>
  </si>
  <si>
    <t>Skor Q2</t>
  </si>
  <si>
    <t>Skor Q3</t>
  </si>
  <si>
    <t>Skor Q4</t>
  </si>
  <si>
    <t>Skor Q5</t>
  </si>
  <si>
    <t>Skor Q6</t>
  </si>
  <si>
    <t>Skor Q7(R)</t>
  </si>
  <si>
    <t>Skor Q8</t>
  </si>
  <si>
    <t>Skor Q9</t>
  </si>
  <si>
    <t>Skor Q10</t>
  </si>
  <si>
    <t>Skor Q11(R)</t>
  </si>
  <si>
    <t>Skor Q12</t>
  </si>
  <si>
    <t>Skor Q13</t>
  </si>
  <si>
    <t>Skor Q14(R)</t>
  </si>
  <si>
    <t>Skor Q15</t>
  </si>
  <si>
    <t>Skor Q16</t>
  </si>
  <si>
    <t>Skor Q17</t>
  </si>
  <si>
    <t>Skor Q18</t>
  </si>
  <si>
    <t>Skor Q19</t>
  </si>
  <si>
    <t>Skor Q20</t>
  </si>
  <si>
    <t>Skor Q21(R)</t>
  </si>
  <si>
    <t>Skor Q22</t>
  </si>
  <si>
    <t>Skor Q23</t>
  </si>
  <si>
    <t>Skor Q24</t>
  </si>
  <si>
    <t>Skor Q25(R)</t>
  </si>
  <si>
    <t>Skor E
Gejala Emosional</t>
  </si>
  <si>
    <t>Skor C
Masalah Perilaku</t>
  </si>
  <si>
    <t>Skor H
Hiperaktivitas</t>
  </si>
  <si>
    <t>Skor P
Masalah Teman Sebaya</t>
  </si>
  <si>
    <t>Skor Pr
Prososial</t>
  </si>
  <si>
    <t>Status E
Gejala Emosional</t>
  </si>
  <si>
    <t>Status C
Masalah Perilaku</t>
  </si>
  <si>
    <t>Status H
Hiperaktivitas</t>
  </si>
  <si>
    <t>Status P
Masalah Teman Sebaya</t>
  </si>
  <si>
    <t>Status Pr
Prososial</t>
  </si>
  <si>
    <t>Skor IAA Q1</t>
  </si>
  <si>
    <t>Skor IAA Q2</t>
  </si>
  <si>
    <t>Skor IAA Q3</t>
  </si>
  <si>
    <t>Skor IAA Q4</t>
  </si>
  <si>
    <t>Skor IAA Q5</t>
  </si>
  <si>
    <t>Skor IAA Q6</t>
  </si>
  <si>
    <t>Skor IAA Q7</t>
  </si>
  <si>
    <t>Skor IAA Q8</t>
  </si>
  <si>
    <t>Skor IAA Q9</t>
  </si>
  <si>
    <t>Skor IAA Q10</t>
  </si>
  <si>
    <t>Skor IAA Q11</t>
  </si>
  <si>
    <t>Skor IAA Q12</t>
  </si>
  <si>
    <t>Skor IAA Q13</t>
  </si>
  <si>
    <t>Skor IAA Q14</t>
  </si>
  <si>
    <t>Skor IAA Q15</t>
  </si>
  <si>
    <t>Skor IAA Q16</t>
  </si>
  <si>
    <t>Skor IAA Q17</t>
  </si>
  <si>
    <t>Skor IAA Q18</t>
  </si>
  <si>
    <t>Total Skor
IAA</t>
  </si>
  <si>
    <t>Status IAA</t>
  </si>
  <si>
    <t>📊  Panduan Interpretasi Skor — SDQ &amp; IAA</t>
  </si>
  <si>
    <t>SDQ — STATUS PER SUBSCALE  ·  Official SDQ Self-Report (Usia 11–18)  ·  Source: sdqinfo.org</t>
  </si>
  <si>
    <t>Subscale</t>
  </si>
  <si>
    <t>Normal</t>
  </si>
  <si>
    <t>Borderline</t>
  </si>
  <si>
    <t>Abnormal</t>
  </si>
  <si>
    <t>Catatan</t>
  </si>
  <si>
    <t>E — Gejala Emosional</t>
  </si>
  <si>
    <t>0 – 5</t>
  </si>
  <si>
    <t>6</t>
  </si>
  <si>
    <t>7 – 10</t>
  </si>
  <si>
    <t>Higher = worse</t>
  </si>
  <si>
    <t>C — Masalah Perilaku</t>
  </si>
  <si>
    <t>0 – 3</t>
  </si>
  <si>
    <t>4</t>
  </si>
  <si>
    <t>5 – 10</t>
  </si>
  <si>
    <t>H — Hiperaktivitas</t>
  </si>
  <si>
    <t>P — Masalah Teman Sebaya</t>
  </si>
  <si>
    <t>4–5</t>
  </si>
  <si>
    <t>6 – 10</t>
  </si>
  <si>
    <t>Pr — Prososial (Kekuatan)</t>
  </si>
  <si>
    <t>6–10</t>
  </si>
  <si>
    <t>5</t>
  </si>
  <si>
    <t>0 – 4</t>
  </si>
  <si>
    <t>⚠️ REVERSED: low = abnormal</t>
  </si>
  <si>
    <t>SDQ — TOTAL KESULITAN  ·  Interpretasi Kemenkes  ·  Usia 11–18 tahun</t>
  </si>
  <si>
    <t>Kategori</t>
  </si>
  <si>
    <t>Range Skor</t>
  </si>
  <si>
    <t>Keterangan</t>
  </si>
  <si>
    <t>0 – 15</t>
  </si>
  <si>
    <t>Tidak ditemukan indikasi masalah kesehatan mental yang signifikan</t>
  </si>
  <si>
    <t>16 – 19</t>
  </si>
  <si>
    <t>Terdapat beberapa indikasi, perlu diperhatikan lebih lanjut</t>
  </si>
  <si>
    <t>20 – 40</t>
  </si>
  <si>
    <t>Ditemukan indikasi masalah, sangat disarankan konsultasi tenaga kesehatan</t>
  </si>
  <si>
    <t>IAA — KECANDUAN INTERNET  ·  18 pertanyaan  ·  Skor 0–4 per pertanyaan  ·  Total max: 72</t>
  </si>
  <si>
    <t>Tidak/Sedikit Kecanduan</t>
  </si>
  <si>
    <t>&lt; 30</t>
  </si>
  <si>
    <t>Penggunaan internet masih dalam batas normal</t>
  </si>
  <si>
    <t>Kecanduan Borderline</t>
  </si>
  <si>
    <t>30 – 39</t>
  </si>
  <si>
    <t>Mulai menunjukkan tanda-tanda, perlu diperhatikan</t>
  </si>
  <si>
    <t>Kemungkinan Kecanduan</t>
  </si>
  <si>
    <t>40 – 59</t>
  </si>
  <si>
    <t>Kecanduan internet mempengaruhi kehidupan sehari-hari</t>
  </si>
  <si>
    <t>Kecanduan Signifikan</t>
  </si>
  <si>
    <t>≥ 60</t>
  </si>
  <si>
    <t>Kecanduan serius, sangat disarankan konsultasi profesional</t>
  </si>
  <si>
    <t>IAA — NILAI PER JAWABAN</t>
  </si>
  <si>
    <t>Tidak Pernah = 0</t>
  </si>
  <si>
    <t>Jarang = 1</t>
  </si>
  <si>
    <t>Kadang-Kadang = 2</t>
  </si>
  <si>
    <t>Sering = 3</t>
  </si>
  <si>
    <t>Selalu = 4</t>
  </si>
  <si>
    <t>Total
Kesulitan</t>
  </si>
  <si>
    <t>Status SDQ
(Kemenkes)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</si>
</sst>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0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7C3AED"/>
      <name val="Arial"/>
    </font>
    <font>
      <sz val="9"/>
      <color rgb="FF166534"/>
      <name val="Arial"/>
    </font>
    <font>
      <sz val="9"/>
      <color rgb="FF92400E"/>
      <name val="Arial"/>
    </font>
    <font>
      <sz val="9"/>
      <color rgb="FF991B1B"/>
      <name val="Arial"/>
    </font>
    <font>
      <sz val="9"/>
      <color rgb="FF64748B"/>
      <name val="Arial"/>
    </font>
    <font>
      <b/>
      <sz val="9"/>
      <color rgb="FFEA580C"/>
      <name val="Arial"/>
    </font>
    <font>
      <b/>
      <sz val="9"/>
      <color rgb="FFD97706"/>
      <name val="Arial"/>
    </font>
    <font>
      <b/>
      <sz val="9"/>
      <color rgb="FF2563EB"/>
      <name val="Arial"/>
    </font>
    <font>
      <b/>
      <sz val="9"/>
      <color rgb="FF166534"/>
      <name val="Arial"/>
    </font>
    <font>
      <sz val="9"/>
      <color rgb="FF374151"/>
      <name val="Arial"/>
    </font>
    <font>
      <b/>
      <sz val="9"/>
      <color rgb="FF92400E"/>
      <name val="Arial"/>
    </font>
    <font>
      <b/>
      <sz val="9"/>
      <color rgb="FF991B1B"/>
      <name val="Arial"/>
    </font>
    <font>
      <b/>
      <sz val="9"/>
      <color rgb="FFC2410C"/>
      <name val="Arial"/>
    </font>
    <font>
      <b/>
      <sz val="9"/>
      <color rgb="FF1D4ED8"/>
      <name val="Arial"/>
    </font>
  </fonts>
  <fills count="2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ECACA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0" fillId="0" borderId="0" xfId="0"/>
    <xf numFmtId="0" fontId="15" fillId="1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9" borderId="0" xfId="0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7"/>
  <sheetViews>
    <sheetView showGridLines="0" workbookViewId="0">
      <pane xSplit="6" ySplit="1" topLeftCell="AQ2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2" width="14" style="41" customWidth="1"/>
    <col min="3" max="3" width="18" style="41" customWidth="1"/>
    <col min="4" max="4" width="20" style="41" customWidth="1"/>
    <col min="5" max="5" width="10" style="41" customWidth="1"/>
    <col min="6" max="6" width="8" style="41" customWidth="1"/>
    <col min="7" max="49" width="10" style="41" customWidth="1"/>
  </cols>
  <sheetData>
    <row r="1" spans="1:4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5" t="s">
        <v>12</v>
      </c>
      <c r="N1" s="4" t="s">
        <v>13</v>
      </c>
      <c r="O1" s="2" t="s">
        <v>14</v>
      </c>
      <c r="P1" s="3" t="s">
        <v>15</v>
      </c>
      <c r="Q1" s="6" t="s">
        <v>16</v>
      </c>
      <c r="R1" s="5" t="s">
        <v>17</v>
      </c>
      <c r="S1" s="4" t="s">
        <v>18</v>
      </c>
      <c r="T1" s="6" t="s">
        <v>19</v>
      </c>
      <c r="U1" s="3" t="s">
        <v>20</v>
      </c>
      <c r="V1" s="4" t="s">
        <v>21</v>
      </c>
      <c r="W1" s="2" t="s">
        <v>22</v>
      </c>
      <c r="X1" s="5" t="s">
        <v>23</v>
      </c>
      <c r="Y1" s="6" t="s">
        <v>24</v>
      </c>
      <c r="Z1" s="2" t="s">
        <v>25</v>
      </c>
      <c r="AA1" s="3" t="s">
        <v>26</v>
      </c>
      <c r="AB1" s="5" t="s">
        <v>27</v>
      </c>
      <c r="AC1" s="6" t="s">
        <v>28</v>
      </c>
      <c r="AD1" s="4" t="s">
        <v>29</v>
      </c>
      <c r="AE1" s="3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</row>
    <row r="2" spans="1:49" ht="16.05" customHeight="1" x14ac:dyDescent="0.3">
      <c r="A2" s="8" t="s">
        <v>49</v>
      </c>
      <c r="B2" s="8" t="s">
        <v>50</v>
      </c>
      <c r="C2" s="9">
        <v>46136.090752314813</v>
      </c>
      <c r="D2" s="10" t="s">
        <v>51</v>
      </c>
      <c r="E2" s="8" t="s">
        <v>52</v>
      </c>
      <c r="F2" s="8">
        <v>17</v>
      </c>
      <c r="G2" s="8" t="s">
        <v>53</v>
      </c>
      <c r="H2" s="8" t="s">
        <v>53</v>
      </c>
      <c r="I2" s="8" t="s">
        <v>53</v>
      </c>
      <c r="J2" s="8" t="s">
        <v>53</v>
      </c>
      <c r="K2" s="8" t="s">
        <v>54</v>
      </c>
      <c r="L2" s="8" t="s">
        <v>54</v>
      </c>
      <c r="M2" s="8" t="s">
        <v>54</v>
      </c>
      <c r="N2" s="8" t="s">
        <v>53</v>
      </c>
      <c r="O2" s="8" t="s">
        <v>54</v>
      </c>
      <c r="P2" s="8" t="s">
        <v>53</v>
      </c>
      <c r="Q2" s="8" t="s">
        <v>53</v>
      </c>
      <c r="R2" s="8" t="s">
        <v>54</v>
      </c>
      <c r="S2" s="8" t="s">
        <v>53</v>
      </c>
      <c r="T2" s="8" t="s">
        <v>54</v>
      </c>
      <c r="U2" s="8" t="s">
        <v>54</v>
      </c>
      <c r="V2" s="8" t="s">
        <v>54</v>
      </c>
      <c r="W2" s="8" t="s">
        <v>54</v>
      </c>
      <c r="X2" s="8" t="s">
        <v>54</v>
      </c>
      <c r="Y2" s="8" t="s">
        <v>55</v>
      </c>
      <c r="Z2" s="8" t="s">
        <v>54</v>
      </c>
      <c r="AA2" s="8" t="s">
        <v>53</v>
      </c>
      <c r="AB2" s="8" t="s">
        <v>55</v>
      </c>
      <c r="AC2" s="8" t="s">
        <v>54</v>
      </c>
      <c r="AD2" s="8" t="s">
        <v>53</v>
      </c>
      <c r="AE2" s="8" t="s">
        <v>53</v>
      </c>
      <c r="AF2" s="8" t="s">
        <v>56</v>
      </c>
      <c r="AG2" s="8" t="s">
        <v>57</v>
      </c>
      <c r="AH2" s="8" t="s">
        <v>57</v>
      </c>
      <c r="AI2" s="8" t="s">
        <v>58</v>
      </c>
      <c r="AJ2" s="8" t="s">
        <v>58</v>
      </c>
      <c r="AK2" s="8" t="s">
        <v>57</v>
      </c>
      <c r="AL2" s="8" t="s">
        <v>58</v>
      </c>
      <c r="AM2" s="8" t="s">
        <v>57</v>
      </c>
      <c r="AN2" s="8" t="s">
        <v>57</v>
      </c>
      <c r="AO2" s="8" t="s">
        <v>57</v>
      </c>
      <c r="AP2" s="8" t="s">
        <v>56</v>
      </c>
      <c r="AQ2" s="8" t="s">
        <v>59</v>
      </c>
      <c r="AR2" s="8" t="s">
        <v>57</v>
      </c>
      <c r="AS2" s="8" t="s">
        <v>57</v>
      </c>
      <c r="AT2" s="8" t="s">
        <v>57</v>
      </c>
      <c r="AU2" s="8" t="s">
        <v>58</v>
      </c>
      <c r="AV2" s="8" t="s">
        <v>57</v>
      </c>
      <c r="AW2" s="8" t="s">
        <v>56</v>
      </c>
    </row>
    <row r="3" spans="1:49" ht="16.05" customHeight="1" x14ac:dyDescent="0.3">
      <c r="A3" s="8" t="s">
        <v>60</v>
      </c>
      <c r="B3" s="8" t="s">
        <v>61</v>
      </c>
      <c r="C3" s="9">
        <v>46136.091111111113</v>
      </c>
      <c r="D3" s="10" t="s">
        <v>62</v>
      </c>
      <c r="E3" s="8" t="s">
        <v>52</v>
      </c>
      <c r="F3" s="8">
        <v>11</v>
      </c>
      <c r="G3" s="8" t="s">
        <v>53</v>
      </c>
      <c r="H3" s="8" t="s">
        <v>54</v>
      </c>
      <c r="I3" s="8" t="s">
        <v>53</v>
      </c>
      <c r="J3" s="8" t="s">
        <v>54</v>
      </c>
      <c r="K3" s="8" t="s">
        <v>54</v>
      </c>
      <c r="L3" s="8" t="s">
        <v>53</v>
      </c>
      <c r="M3" s="8" t="s">
        <v>53</v>
      </c>
      <c r="N3" s="8" t="s">
        <v>54</v>
      </c>
      <c r="O3" s="8" t="s">
        <v>54</v>
      </c>
      <c r="P3" s="8" t="s">
        <v>53</v>
      </c>
      <c r="Q3" s="8" t="s">
        <v>53</v>
      </c>
      <c r="R3" s="8" t="s">
        <v>55</v>
      </c>
      <c r="S3" s="8" t="s">
        <v>54</v>
      </c>
      <c r="T3" s="8" t="s">
        <v>55</v>
      </c>
      <c r="U3" s="8" t="s">
        <v>54</v>
      </c>
      <c r="V3" s="8" t="s">
        <v>53</v>
      </c>
      <c r="W3" s="8" t="s">
        <v>53</v>
      </c>
      <c r="X3" s="8" t="s">
        <v>55</v>
      </c>
      <c r="Y3" s="8" t="s">
        <v>55</v>
      </c>
      <c r="Z3" s="8" t="s">
        <v>53</v>
      </c>
      <c r="AA3" s="8" t="s">
        <v>54</v>
      </c>
      <c r="AB3" s="8" t="s">
        <v>55</v>
      </c>
      <c r="AC3" s="8" t="s">
        <v>55</v>
      </c>
      <c r="AD3" s="8" t="s">
        <v>54</v>
      </c>
      <c r="AE3" s="8" t="s">
        <v>55</v>
      </c>
      <c r="AF3" s="8" t="s">
        <v>59</v>
      </c>
      <c r="AG3" s="8" t="s">
        <v>59</v>
      </c>
      <c r="AH3" s="8" t="s">
        <v>59</v>
      </c>
      <c r="AI3" s="8" t="s">
        <v>57</v>
      </c>
      <c r="AJ3" s="8" t="s">
        <v>59</v>
      </c>
      <c r="AK3" s="8" t="s">
        <v>63</v>
      </c>
      <c r="AL3" s="8" t="s">
        <v>57</v>
      </c>
      <c r="AM3" s="8" t="s">
        <v>56</v>
      </c>
      <c r="AN3" s="8" t="s">
        <v>63</v>
      </c>
      <c r="AO3" s="8" t="s">
        <v>59</v>
      </c>
      <c r="AP3" s="8" t="s">
        <v>59</v>
      </c>
      <c r="AQ3" s="8" t="s">
        <v>58</v>
      </c>
      <c r="AR3" s="8" t="s">
        <v>56</v>
      </c>
      <c r="AS3" s="8" t="s">
        <v>63</v>
      </c>
      <c r="AT3" s="8" t="s">
        <v>56</v>
      </c>
      <c r="AU3" s="8" t="s">
        <v>58</v>
      </c>
      <c r="AV3" s="8" t="s">
        <v>59</v>
      </c>
      <c r="AW3" s="8" t="s">
        <v>63</v>
      </c>
    </row>
    <row r="4" spans="1:49" ht="16.05" customHeight="1" x14ac:dyDescent="0.3">
      <c r="A4" s="8" t="s">
        <v>64</v>
      </c>
      <c r="B4" s="8" t="s">
        <v>65</v>
      </c>
      <c r="C4" s="9">
        <v>46136.091643518521</v>
      </c>
      <c r="D4" s="10" t="s">
        <v>66</v>
      </c>
      <c r="E4" s="8" t="s">
        <v>52</v>
      </c>
      <c r="F4" s="8">
        <v>16</v>
      </c>
      <c r="G4" s="8" t="s">
        <v>53</v>
      </c>
      <c r="H4" s="8" t="s">
        <v>53</v>
      </c>
      <c r="I4" s="8" t="s">
        <v>55</v>
      </c>
      <c r="J4" s="8" t="s">
        <v>54</v>
      </c>
      <c r="K4" s="8" t="s">
        <v>55</v>
      </c>
      <c r="L4" s="8" t="s">
        <v>53</v>
      </c>
      <c r="M4" s="8" t="s">
        <v>55</v>
      </c>
      <c r="N4" s="8" t="s">
        <v>55</v>
      </c>
      <c r="O4" s="8" t="s">
        <v>53</v>
      </c>
      <c r="P4" s="8" t="s">
        <v>55</v>
      </c>
      <c r="Q4" s="8" t="s">
        <v>53</v>
      </c>
      <c r="R4" s="8" t="s">
        <v>55</v>
      </c>
      <c r="S4" s="8" t="s">
        <v>55</v>
      </c>
      <c r="T4" s="8" t="s">
        <v>54</v>
      </c>
      <c r="U4" s="8" t="s">
        <v>55</v>
      </c>
      <c r="V4" s="8" t="s">
        <v>55</v>
      </c>
      <c r="W4" s="8" t="s">
        <v>53</v>
      </c>
      <c r="X4" s="8" t="s">
        <v>55</v>
      </c>
      <c r="Y4" s="8" t="s">
        <v>55</v>
      </c>
      <c r="Z4" s="8" t="s">
        <v>54</v>
      </c>
      <c r="AA4" s="8" t="s">
        <v>53</v>
      </c>
      <c r="AB4" s="8" t="s">
        <v>55</v>
      </c>
      <c r="AC4" s="8" t="s">
        <v>55</v>
      </c>
      <c r="AD4" s="8" t="s">
        <v>55</v>
      </c>
      <c r="AE4" s="8" t="s">
        <v>54</v>
      </c>
      <c r="AF4" s="8" t="s">
        <v>57</v>
      </c>
      <c r="AG4" s="8" t="s">
        <v>56</v>
      </c>
      <c r="AH4" s="8" t="s">
        <v>56</v>
      </c>
      <c r="AI4" s="8" t="s">
        <v>63</v>
      </c>
      <c r="AJ4" s="8" t="s">
        <v>58</v>
      </c>
      <c r="AK4" s="8" t="s">
        <v>59</v>
      </c>
      <c r="AL4" s="8" t="s">
        <v>63</v>
      </c>
      <c r="AM4" s="8" t="s">
        <v>56</v>
      </c>
      <c r="AN4" s="8" t="s">
        <v>58</v>
      </c>
      <c r="AO4" s="8" t="s">
        <v>58</v>
      </c>
      <c r="AP4" s="8" t="s">
        <v>63</v>
      </c>
      <c r="AQ4" s="8" t="s">
        <v>58</v>
      </c>
      <c r="AR4" s="8" t="s">
        <v>57</v>
      </c>
      <c r="AS4" s="8" t="s">
        <v>63</v>
      </c>
      <c r="AT4" s="8" t="s">
        <v>58</v>
      </c>
      <c r="AU4" s="8" t="s">
        <v>56</v>
      </c>
      <c r="AV4" s="8" t="s">
        <v>58</v>
      </c>
      <c r="AW4" s="8" t="s">
        <v>63</v>
      </c>
    </row>
    <row r="5" spans="1:49" ht="16.05" customHeight="1" x14ac:dyDescent="0.3">
      <c r="A5" s="8" t="s">
        <v>67</v>
      </c>
      <c r="B5" s="8" t="s">
        <v>68</v>
      </c>
      <c r="C5" s="9">
        <v>46136.092372685183</v>
      </c>
      <c r="D5" s="10" t="s">
        <v>69</v>
      </c>
      <c r="E5" s="8" t="s">
        <v>52</v>
      </c>
      <c r="F5" s="8">
        <v>17</v>
      </c>
      <c r="G5" s="8" t="s">
        <v>54</v>
      </c>
      <c r="H5" s="8" t="s">
        <v>55</v>
      </c>
      <c r="I5" s="8" t="s">
        <v>53</v>
      </c>
      <c r="J5" s="8" t="s">
        <v>53</v>
      </c>
      <c r="K5" s="8" t="s">
        <v>54</v>
      </c>
      <c r="L5" s="8" t="s">
        <v>54</v>
      </c>
      <c r="M5" s="8" t="s">
        <v>54</v>
      </c>
      <c r="N5" s="8" t="s">
        <v>53</v>
      </c>
      <c r="O5" s="8" t="s">
        <v>53</v>
      </c>
      <c r="P5" s="8" t="s">
        <v>53</v>
      </c>
      <c r="Q5" s="8" t="s">
        <v>54</v>
      </c>
      <c r="R5" s="8" t="s">
        <v>54</v>
      </c>
      <c r="S5" s="8" t="s">
        <v>53</v>
      </c>
      <c r="T5" s="8" t="s">
        <v>55</v>
      </c>
      <c r="U5" s="8" t="s">
        <v>53</v>
      </c>
      <c r="V5" s="8" t="s">
        <v>54</v>
      </c>
      <c r="W5" s="8" t="s">
        <v>53</v>
      </c>
      <c r="X5" s="8" t="s">
        <v>54</v>
      </c>
      <c r="Y5" s="8" t="s">
        <v>54</v>
      </c>
      <c r="Z5" s="8" t="s">
        <v>53</v>
      </c>
      <c r="AA5" s="8" t="s">
        <v>53</v>
      </c>
      <c r="AB5" s="8" t="s">
        <v>55</v>
      </c>
      <c r="AC5" s="8" t="s">
        <v>53</v>
      </c>
      <c r="AD5" s="8" t="s">
        <v>53</v>
      </c>
      <c r="AE5" s="8" t="s">
        <v>55</v>
      </c>
      <c r="AF5" s="8" t="s">
        <v>58</v>
      </c>
      <c r="AG5" s="8" t="s">
        <v>57</v>
      </c>
      <c r="AH5" s="8" t="s">
        <v>58</v>
      </c>
      <c r="AI5" s="8" t="s">
        <v>59</v>
      </c>
      <c r="AJ5" s="8" t="s">
        <v>63</v>
      </c>
      <c r="AK5" s="8" t="s">
        <v>59</v>
      </c>
      <c r="AL5" s="8" t="s">
        <v>57</v>
      </c>
      <c r="AM5" s="8" t="s">
        <v>63</v>
      </c>
      <c r="AN5" s="8" t="s">
        <v>63</v>
      </c>
      <c r="AO5" s="8" t="s">
        <v>58</v>
      </c>
      <c r="AP5" s="8" t="s">
        <v>59</v>
      </c>
      <c r="AQ5" s="8" t="s">
        <v>58</v>
      </c>
      <c r="AR5" s="8" t="s">
        <v>58</v>
      </c>
      <c r="AS5" s="8" t="s">
        <v>57</v>
      </c>
      <c r="AT5" s="8" t="s">
        <v>58</v>
      </c>
      <c r="AU5" s="8" t="s">
        <v>63</v>
      </c>
      <c r="AV5" s="8" t="s">
        <v>57</v>
      </c>
      <c r="AW5" s="8" t="s">
        <v>63</v>
      </c>
    </row>
    <row r="6" spans="1:49" ht="16.05" customHeight="1" x14ac:dyDescent="0.3">
      <c r="A6" s="8" t="s">
        <v>70</v>
      </c>
      <c r="B6" s="8" t="s">
        <v>71</v>
      </c>
      <c r="C6" s="9">
        <v>46136.09270833333</v>
      </c>
      <c r="D6" s="10" t="s">
        <v>72</v>
      </c>
      <c r="E6" s="8" t="s">
        <v>52</v>
      </c>
      <c r="F6" s="8">
        <v>16</v>
      </c>
      <c r="G6" s="8" t="s">
        <v>53</v>
      </c>
      <c r="H6" s="8" t="s">
        <v>53</v>
      </c>
      <c r="I6" s="8" t="s">
        <v>55</v>
      </c>
      <c r="J6" s="8" t="s">
        <v>54</v>
      </c>
      <c r="K6" s="8" t="s">
        <v>55</v>
      </c>
      <c r="L6" s="8" t="s">
        <v>55</v>
      </c>
      <c r="M6" s="8" t="s">
        <v>54</v>
      </c>
      <c r="N6" s="8" t="s">
        <v>54</v>
      </c>
      <c r="O6" s="8" t="s">
        <v>54</v>
      </c>
      <c r="P6" s="8" t="s">
        <v>53</v>
      </c>
      <c r="Q6" s="8" t="s">
        <v>53</v>
      </c>
      <c r="R6" s="8" t="s">
        <v>55</v>
      </c>
      <c r="S6" s="8" t="s">
        <v>55</v>
      </c>
      <c r="T6" s="8" t="s">
        <v>53</v>
      </c>
      <c r="U6" s="8" t="s">
        <v>55</v>
      </c>
      <c r="V6" s="8" t="s">
        <v>54</v>
      </c>
      <c r="W6" s="8" t="s">
        <v>54</v>
      </c>
      <c r="X6" s="8" t="s">
        <v>55</v>
      </c>
      <c r="Y6" s="8" t="s">
        <v>55</v>
      </c>
      <c r="Z6" s="8" t="s">
        <v>54</v>
      </c>
      <c r="AA6" s="8" t="s">
        <v>54</v>
      </c>
      <c r="AB6" s="8" t="s">
        <v>55</v>
      </c>
      <c r="AC6" s="8" t="s">
        <v>55</v>
      </c>
      <c r="AD6" s="8" t="s">
        <v>54</v>
      </c>
      <c r="AE6" s="8" t="s">
        <v>53</v>
      </c>
      <c r="AF6" s="8" t="s">
        <v>56</v>
      </c>
      <c r="AG6" s="8" t="s">
        <v>58</v>
      </c>
      <c r="AH6" s="8" t="s">
        <v>57</v>
      </c>
      <c r="AI6" s="8" t="s">
        <v>63</v>
      </c>
      <c r="AJ6" s="8" t="s">
        <v>63</v>
      </c>
      <c r="AK6" s="8" t="s">
        <v>58</v>
      </c>
      <c r="AL6" s="8" t="s">
        <v>63</v>
      </c>
      <c r="AM6" s="8" t="s">
        <v>59</v>
      </c>
      <c r="AN6" s="8" t="s">
        <v>58</v>
      </c>
      <c r="AO6" s="8" t="s">
        <v>57</v>
      </c>
      <c r="AP6" s="8" t="s">
        <v>57</v>
      </c>
      <c r="AQ6" s="8" t="s">
        <v>56</v>
      </c>
      <c r="AR6" s="8" t="s">
        <v>58</v>
      </c>
      <c r="AS6" s="8" t="s">
        <v>56</v>
      </c>
      <c r="AT6" s="8" t="s">
        <v>57</v>
      </c>
      <c r="AU6" s="8" t="s">
        <v>57</v>
      </c>
      <c r="AV6" s="8" t="s">
        <v>58</v>
      </c>
      <c r="AW6" s="8" t="s">
        <v>57</v>
      </c>
    </row>
    <row r="7" spans="1:49" ht="16.05" customHeight="1" x14ac:dyDescent="0.3">
      <c r="A7" s="8" t="s">
        <v>73</v>
      </c>
      <c r="B7" s="8" t="s">
        <v>74</v>
      </c>
      <c r="C7" s="9">
        <v>46136.092951388891</v>
      </c>
      <c r="D7" s="10" t="s">
        <v>75</v>
      </c>
      <c r="E7" s="8" t="s">
        <v>52</v>
      </c>
      <c r="F7" s="8">
        <v>16</v>
      </c>
      <c r="G7" s="8" t="s">
        <v>53</v>
      </c>
      <c r="H7" s="8" t="s">
        <v>53</v>
      </c>
      <c r="I7" s="8" t="s">
        <v>55</v>
      </c>
      <c r="J7" s="8" t="s">
        <v>53</v>
      </c>
      <c r="K7" s="8" t="s">
        <v>54</v>
      </c>
      <c r="L7" s="8" t="s">
        <v>55</v>
      </c>
      <c r="M7" s="8" t="s">
        <v>55</v>
      </c>
      <c r="N7" s="8" t="s">
        <v>55</v>
      </c>
      <c r="O7" s="8" t="s">
        <v>53</v>
      </c>
      <c r="P7" s="8" t="s">
        <v>54</v>
      </c>
      <c r="Q7" s="8" t="s">
        <v>53</v>
      </c>
      <c r="R7" s="8" t="s">
        <v>55</v>
      </c>
      <c r="S7" s="8" t="s">
        <v>55</v>
      </c>
      <c r="T7" s="8" t="s">
        <v>53</v>
      </c>
      <c r="U7" s="8" t="s">
        <v>54</v>
      </c>
      <c r="V7" s="8" t="s">
        <v>54</v>
      </c>
      <c r="W7" s="8" t="s">
        <v>53</v>
      </c>
      <c r="X7" s="8" t="s">
        <v>55</v>
      </c>
      <c r="Y7" s="8" t="s">
        <v>55</v>
      </c>
      <c r="Z7" s="8" t="s">
        <v>53</v>
      </c>
      <c r="AA7" s="8" t="s">
        <v>53</v>
      </c>
      <c r="AB7" s="8" t="s">
        <v>55</v>
      </c>
      <c r="AC7" s="8" t="s">
        <v>53</v>
      </c>
      <c r="AD7" s="8" t="s">
        <v>55</v>
      </c>
      <c r="AE7" s="8" t="s">
        <v>53</v>
      </c>
      <c r="AF7" s="8" t="s">
        <v>57</v>
      </c>
      <c r="AG7" s="8" t="s">
        <v>58</v>
      </c>
      <c r="AH7" s="8" t="s">
        <v>58</v>
      </c>
      <c r="AI7" s="8" t="s">
        <v>63</v>
      </c>
      <c r="AJ7" s="8" t="s">
        <v>63</v>
      </c>
      <c r="AK7" s="8" t="s">
        <v>63</v>
      </c>
      <c r="AL7" s="8" t="s">
        <v>63</v>
      </c>
      <c r="AM7" s="8" t="s">
        <v>58</v>
      </c>
      <c r="AN7" s="8" t="s">
        <v>58</v>
      </c>
      <c r="AO7" s="8" t="s">
        <v>59</v>
      </c>
      <c r="AP7" s="8" t="s">
        <v>57</v>
      </c>
      <c r="AQ7" s="8" t="s">
        <v>56</v>
      </c>
      <c r="AR7" s="8" t="s">
        <v>58</v>
      </c>
      <c r="AS7" s="8" t="s">
        <v>57</v>
      </c>
      <c r="AT7" s="8" t="s">
        <v>56</v>
      </c>
      <c r="AU7" s="8" t="s">
        <v>63</v>
      </c>
      <c r="AV7" s="8" t="s">
        <v>63</v>
      </c>
      <c r="AW7" s="8" t="s">
        <v>58</v>
      </c>
    </row>
    <row r="8" spans="1:49" ht="16.05" customHeight="1" x14ac:dyDescent="0.3">
      <c r="A8" s="8" t="s">
        <v>76</v>
      </c>
      <c r="B8" s="8" t="s">
        <v>77</v>
      </c>
      <c r="C8" s="9">
        <v>46136.093148148153</v>
      </c>
      <c r="D8" s="10" t="s">
        <v>78</v>
      </c>
      <c r="E8" s="8" t="s">
        <v>52</v>
      </c>
      <c r="F8" s="8">
        <v>17</v>
      </c>
      <c r="G8" s="8" t="s">
        <v>53</v>
      </c>
      <c r="H8" s="8" t="s">
        <v>54</v>
      </c>
      <c r="I8" s="8" t="s">
        <v>53</v>
      </c>
      <c r="J8" s="8" t="s">
        <v>53</v>
      </c>
      <c r="K8" s="8" t="s">
        <v>55</v>
      </c>
      <c r="L8" s="8" t="s">
        <v>53</v>
      </c>
      <c r="M8" s="8" t="s">
        <v>53</v>
      </c>
      <c r="N8" s="8" t="s">
        <v>53</v>
      </c>
      <c r="O8" s="8" t="s">
        <v>53</v>
      </c>
      <c r="P8" s="8" t="s">
        <v>53</v>
      </c>
      <c r="Q8" s="8" t="s">
        <v>53</v>
      </c>
      <c r="R8" s="8" t="s">
        <v>55</v>
      </c>
      <c r="S8" s="8" t="s">
        <v>54</v>
      </c>
      <c r="T8" s="8" t="s">
        <v>53</v>
      </c>
      <c r="U8" s="8" t="s">
        <v>54</v>
      </c>
      <c r="V8" s="8" t="s">
        <v>53</v>
      </c>
      <c r="W8" s="8" t="s">
        <v>53</v>
      </c>
      <c r="X8" s="8" t="s">
        <v>55</v>
      </c>
      <c r="Y8" s="8" t="s">
        <v>55</v>
      </c>
      <c r="Z8" s="8" t="s">
        <v>53</v>
      </c>
      <c r="AA8" s="8" t="s">
        <v>53</v>
      </c>
      <c r="AB8" s="8" t="s">
        <v>55</v>
      </c>
      <c r="AC8" s="8" t="s">
        <v>55</v>
      </c>
      <c r="AD8" s="8" t="s">
        <v>53</v>
      </c>
      <c r="AE8" s="8" t="s">
        <v>53</v>
      </c>
      <c r="AF8" s="8" t="s">
        <v>56</v>
      </c>
      <c r="AG8" s="8" t="s">
        <v>57</v>
      </c>
      <c r="AH8" s="8" t="s">
        <v>58</v>
      </c>
      <c r="AI8" s="8" t="s">
        <v>58</v>
      </c>
      <c r="AJ8" s="8" t="s">
        <v>63</v>
      </c>
      <c r="AK8" s="8" t="s">
        <v>63</v>
      </c>
      <c r="AL8" s="8" t="s">
        <v>57</v>
      </c>
      <c r="AM8" s="8" t="s">
        <v>57</v>
      </c>
      <c r="AN8" s="8" t="s">
        <v>63</v>
      </c>
      <c r="AO8" s="8" t="s">
        <v>57</v>
      </c>
      <c r="AP8" s="8" t="s">
        <v>63</v>
      </c>
      <c r="AQ8" s="8" t="s">
        <v>56</v>
      </c>
      <c r="AR8" s="8" t="s">
        <v>56</v>
      </c>
      <c r="AS8" s="8" t="s">
        <v>57</v>
      </c>
      <c r="AT8" s="8" t="s">
        <v>63</v>
      </c>
      <c r="AU8" s="8" t="s">
        <v>58</v>
      </c>
      <c r="AV8" s="8" t="s">
        <v>57</v>
      </c>
      <c r="AW8" s="8" t="s">
        <v>58</v>
      </c>
    </row>
    <row r="9" spans="1:49" ht="16.05" customHeight="1" x14ac:dyDescent="0.3">
      <c r="A9" s="8" t="s">
        <v>79</v>
      </c>
      <c r="B9" s="8" t="s">
        <v>80</v>
      </c>
      <c r="C9" s="9">
        <v>46136.0934837963</v>
      </c>
      <c r="D9" s="10" t="s">
        <v>81</v>
      </c>
      <c r="E9" s="8" t="s">
        <v>52</v>
      </c>
      <c r="F9" s="8">
        <v>17</v>
      </c>
      <c r="G9" s="8" t="s">
        <v>53</v>
      </c>
      <c r="H9" s="8" t="s">
        <v>55</v>
      </c>
      <c r="I9" s="8" t="s">
        <v>53</v>
      </c>
      <c r="J9" s="8" t="s">
        <v>54</v>
      </c>
      <c r="K9" s="8" t="s">
        <v>54</v>
      </c>
      <c r="L9" s="8" t="s">
        <v>54</v>
      </c>
      <c r="M9" s="8" t="s">
        <v>54</v>
      </c>
      <c r="N9" s="8" t="s">
        <v>54</v>
      </c>
      <c r="O9" s="8" t="s">
        <v>53</v>
      </c>
      <c r="P9" s="8" t="s">
        <v>55</v>
      </c>
      <c r="Q9" s="8" t="s">
        <v>53</v>
      </c>
      <c r="R9" s="8" t="s">
        <v>54</v>
      </c>
      <c r="S9" s="8" t="s">
        <v>54</v>
      </c>
      <c r="T9" s="8" t="s">
        <v>55</v>
      </c>
      <c r="U9" s="8" t="s">
        <v>55</v>
      </c>
      <c r="V9" s="8" t="s">
        <v>53</v>
      </c>
      <c r="W9" s="8" t="s">
        <v>54</v>
      </c>
      <c r="X9" s="8" t="s">
        <v>54</v>
      </c>
      <c r="Y9" s="8" t="s">
        <v>53</v>
      </c>
      <c r="Z9" s="8" t="s">
        <v>53</v>
      </c>
      <c r="AA9" s="8" t="s">
        <v>53</v>
      </c>
      <c r="AB9" s="8" t="s">
        <v>55</v>
      </c>
      <c r="AC9" s="8" t="s">
        <v>54</v>
      </c>
      <c r="AD9" s="8" t="s">
        <v>54</v>
      </c>
      <c r="AE9" s="8" t="s">
        <v>54</v>
      </c>
      <c r="AF9" s="8" t="s">
        <v>56</v>
      </c>
      <c r="AG9" s="8" t="s">
        <v>58</v>
      </c>
      <c r="AH9" s="8" t="s">
        <v>57</v>
      </c>
      <c r="AI9" s="8" t="s">
        <v>56</v>
      </c>
      <c r="AJ9" s="8" t="s">
        <v>59</v>
      </c>
      <c r="AK9" s="8" t="s">
        <v>58</v>
      </c>
      <c r="AL9" s="8" t="s">
        <v>58</v>
      </c>
      <c r="AM9" s="8" t="s">
        <v>57</v>
      </c>
      <c r="AN9" s="8" t="s">
        <v>57</v>
      </c>
      <c r="AO9" s="8" t="s">
        <v>58</v>
      </c>
      <c r="AP9" s="8" t="s">
        <v>56</v>
      </c>
      <c r="AQ9" s="8" t="s">
        <v>57</v>
      </c>
      <c r="AR9" s="8" t="s">
        <v>57</v>
      </c>
      <c r="AS9" s="8" t="s">
        <v>57</v>
      </c>
      <c r="AT9" s="8" t="s">
        <v>57</v>
      </c>
      <c r="AU9" s="8" t="s">
        <v>57</v>
      </c>
      <c r="AV9" s="8" t="s">
        <v>57</v>
      </c>
      <c r="AW9" s="8" t="s">
        <v>57</v>
      </c>
    </row>
    <row r="10" spans="1:49" ht="16.05" customHeight="1" x14ac:dyDescent="0.3">
      <c r="A10" s="8" t="s">
        <v>82</v>
      </c>
      <c r="B10" s="8" t="s">
        <v>83</v>
      </c>
      <c r="C10" s="9">
        <v>46136.093495370369</v>
      </c>
      <c r="D10" s="10" t="s">
        <v>84</v>
      </c>
      <c r="E10" s="8" t="s">
        <v>52</v>
      </c>
      <c r="F10" s="8">
        <v>17</v>
      </c>
      <c r="G10" s="8" t="s">
        <v>53</v>
      </c>
      <c r="H10" s="8" t="s">
        <v>53</v>
      </c>
      <c r="I10" s="8" t="s">
        <v>54</v>
      </c>
      <c r="J10" s="8" t="s">
        <v>54</v>
      </c>
      <c r="K10" s="8" t="s">
        <v>54</v>
      </c>
      <c r="L10" s="8" t="s">
        <v>55</v>
      </c>
      <c r="M10" s="8" t="s">
        <v>53</v>
      </c>
      <c r="N10" s="8" t="s">
        <v>53</v>
      </c>
      <c r="O10" s="8" t="s">
        <v>53</v>
      </c>
      <c r="P10" s="8" t="s">
        <v>53</v>
      </c>
      <c r="Q10" s="8" t="s">
        <v>53</v>
      </c>
      <c r="R10" s="8" t="s">
        <v>55</v>
      </c>
      <c r="S10" s="8" t="s">
        <v>54</v>
      </c>
      <c r="T10" s="8" t="s">
        <v>53</v>
      </c>
      <c r="U10" s="8" t="s">
        <v>54</v>
      </c>
      <c r="V10" s="8" t="s">
        <v>54</v>
      </c>
      <c r="W10" s="8" t="s">
        <v>53</v>
      </c>
      <c r="X10" s="8" t="s">
        <v>54</v>
      </c>
      <c r="Y10" s="8" t="s">
        <v>55</v>
      </c>
      <c r="Z10" s="8" t="s">
        <v>53</v>
      </c>
      <c r="AA10" s="8" t="s">
        <v>53</v>
      </c>
      <c r="AB10" s="8" t="s">
        <v>55</v>
      </c>
      <c r="AC10" s="8" t="s">
        <v>55</v>
      </c>
      <c r="AD10" s="8" t="s">
        <v>54</v>
      </c>
      <c r="AE10" s="8" t="s">
        <v>54</v>
      </c>
      <c r="AF10" s="8" t="s">
        <v>56</v>
      </c>
      <c r="AG10" s="8" t="s">
        <v>57</v>
      </c>
      <c r="AH10" s="8" t="s">
        <v>57</v>
      </c>
      <c r="AI10" s="8" t="s">
        <v>58</v>
      </c>
      <c r="AJ10" s="8" t="s">
        <v>56</v>
      </c>
      <c r="AK10" s="8" t="s">
        <v>57</v>
      </c>
      <c r="AL10" s="8" t="s">
        <v>57</v>
      </c>
      <c r="AM10" s="8" t="s">
        <v>57</v>
      </c>
      <c r="AN10" s="8" t="s">
        <v>58</v>
      </c>
      <c r="AO10" s="8" t="s">
        <v>56</v>
      </c>
      <c r="AP10" s="8" t="s">
        <v>59</v>
      </c>
      <c r="AQ10" s="8" t="s">
        <v>56</v>
      </c>
      <c r="AR10" s="8" t="s">
        <v>57</v>
      </c>
      <c r="AS10" s="8" t="s">
        <v>57</v>
      </c>
      <c r="AT10" s="8" t="s">
        <v>57</v>
      </c>
      <c r="AU10" s="8" t="s">
        <v>57</v>
      </c>
      <c r="AV10" s="8" t="s">
        <v>58</v>
      </c>
      <c r="AW10" s="8" t="s">
        <v>56</v>
      </c>
    </row>
    <row r="11" spans="1:49" ht="16.05" customHeight="1" x14ac:dyDescent="0.3">
      <c r="A11" s="8" t="s">
        <v>85</v>
      </c>
      <c r="B11" s="8" t="s">
        <v>86</v>
      </c>
      <c r="C11" s="9">
        <v>46136.093564814822</v>
      </c>
      <c r="D11" s="10" t="s">
        <v>87</v>
      </c>
      <c r="E11" s="8" t="s">
        <v>52</v>
      </c>
      <c r="F11" s="8">
        <v>18</v>
      </c>
      <c r="G11" s="8" t="s">
        <v>53</v>
      </c>
      <c r="H11" s="8" t="s">
        <v>55</v>
      </c>
      <c r="I11" s="8" t="s">
        <v>54</v>
      </c>
      <c r="J11" s="8" t="s">
        <v>54</v>
      </c>
      <c r="K11" s="8" t="s">
        <v>55</v>
      </c>
      <c r="L11" s="8" t="s">
        <v>53</v>
      </c>
      <c r="M11" s="8" t="s">
        <v>53</v>
      </c>
      <c r="N11" s="8" t="s">
        <v>54</v>
      </c>
      <c r="O11" s="8" t="s">
        <v>53</v>
      </c>
      <c r="P11" s="8" t="s">
        <v>54</v>
      </c>
      <c r="Q11" s="8" t="s">
        <v>53</v>
      </c>
      <c r="R11" s="8" t="s">
        <v>55</v>
      </c>
      <c r="S11" s="8" t="s">
        <v>54</v>
      </c>
      <c r="T11" s="8" t="s">
        <v>54</v>
      </c>
      <c r="U11" s="8" t="s">
        <v>55</v>
      </c>
      <c r="V11" s="8" t="s">
        <v>54</v>
      </c>
      <c r="W11" s="8" t="s">
        <v>53</v>
      </c>
      <c r="X11" s="8" t="s">
        <v>55</v>
      </c>
      <c r="Y11" s="8" t="s">
        <v>55</v>
      </c>
      <c r="Z11" s="8" t="s">
        <v>53</v>
      </c>
      <c r="AA11" s="8" t="s">
        <v>53</v>
      </c>
      <c r="AB11" s="8" t="s">
        <v>55</v>
      </c>
      <c r="AC11" s="8" t="s">
        <v>54</v>
      </c>
      <c r="AD11" s="8" t="s">
        <v>54</v>
      </c>
      <c r="AE11" s="8" t="s">
        <v>53</v>
      </c>
      <c r="AF11" s="8" t="s">
        <v>56</v>
      </c>
      <c r="AG11" s="8" t="s">
        <v>57</v>
      </c>
      <c r="AH11" s="8" t="s">
        <v>56</v>
      </c>
      <c r="AI11" s="8" t="s">
        <v>58</v>
      </c>
      <c r="AJ11" s="8" t="s">
        <v>56</v>
      </c>
      <c r="AK11" s="8" t="s">
        <v>58</v>
      </c>
      <c r="AL11" s="8" t="s">
        <v>58</v>
      </c>
      <c r="AM11" s="8" t="s">
        <v>63</v>
      </c>
      <c r="AN11" s="8" t="s">
        <v>57</v>
      </c>
      <c r="AO11" s="8" t="s">
        <v>57</v>
      </c>
      <c r="AP11" s="8" t="s">
        <v>57</v>
      </c>
      <c r="AQ11" s="8" t="s">
        <v>58</v>
      </c>
      <c r="AR11" s="8" t="s">
        <v>58</v>
      </c>
      <c r="AS11" s="8" t="s">
        <v>63</v>
      </c>
      <c r="AT11" s="8" t="s">
        <v>57</v>
      </c>
      <c r="AU11" s="8" t="s">
        <v>57</v>
      </c>
      <c r="AV11" s="8" t="s">
        <v>57</v>
      </c>
      <c r="AW11" s="8" t="s">
        <v>63</v>
      </c>
    </row>
    <row r="12" spans="1:49" ht="16.05" customHeight="1" x14ac:dyDescent="0.3">
      <c r="A12" s="8" t="s">
        <v>88</v>
      </c>
      <c r="B12" s="8" t="s">
        <v>89</v>
      </c>
      <c r="C12" s="9">
        <v>46136.093576388892</v>
      </c>
      <c r="D12" s="10" t="s">
        <v>90</v>
      </c>
      <c r="E12" s="8" t="s">
        <v>52</v>
      </c>
      <c r="F12" s="8">
        <v>16</v>
      </c>
      <c r="G12" s="8" t="s">
        <v>53</v>
      </c>
      <c r="H12" s="8" t="s">
        <v>54</v>
      </c>
      <c r="I12" s="8" t="s">
        <v>55</v>
      </c>
      <c r="J12" s="8" t="s">
        <v>53</v>
      </c>
      <c r="K12" s="8" t="s">
        <v>55</v>
      </c>
      <c r="L12" s="8" t="s">
        <v>55</v>
      </c>
      <c r="M12" s="8" t="s">
        <v>53</v>
      </c>
      <c r="N12" s="8" t="s">
        <v>55</v>
      </c>
      <c r="O12" s="8" t="s">
        <v>53</v>
      </c>
      <c r="P12" s="8" t="s">
        <v>55</v>
      </c>
      <c r="Q12" s="8" t="s">
        <v>53</v>
      </c>
      <c r="R12" s="8" t="s">
        <v>55</v>
      </c>
      <c r="S12" s="8" t="s">
        <v>55</v>
      </c>
      <c r="T12" s="8" t="s">
        <v>53</v>
      </c>
      <c r="U12" s="8" t="s">
        <v>55</v>
      </c>
      <c r="V12" s="8" t="s">
        <v>54</v>
      </c>
      <c r="W12" s="8" t="s">
        <v>53</v>
      </c>
      <c r="X12" s="8" t="s">
        <v>55</v>
      </c>
      <c r="Y12" s="8" t="s">
        <v>55</v>
      </c>
      <c r="Z12" s="8" t="s">
        <v>53</v>
      </c>
      <c r="AA12" s="8" t="s">
        <v>53</v>
      </c>
      <c r="AB12" s="8" t="s">
        <v>55</v>
      </c>
      <c r="AC12" s="8" t="s">
        <v>55</v>
      </c>
      <c r="AD12" s="8" t="s">
        <v>54</v>
      </c>
      <c r="AE12" s="8" t="s">
        <v>53</v>
      </c>
      <c r="AF12" s="8" t="s">
        <v>57</v>
      </c>
      <c r="AG12" s="8" t="s">
        <v>63</v>
      </c>
      <c r="AH12" s="8" t="s">
        <v>63</v>
      </c>
      <c r="AI12" s="8" t="s">
        <v>58</v>
      </c>
      <c r="AJ12" s="8" t="s">
        <v>63</v>
      </c>
      <c r="AK12" s="8" t="s">
        <v>63</v>
      </c>
      <c r="AL12" s="8" t="s">
        <v>63</v>
      </c>
      <c r="AM12" s="8" t="s">
        <v>57</v>
      </c>
      <c r="AN12" s="8" t="s">
        <v>63</v>
      </c>
      <c r="AO12" s="8" t="s">
        <v>56</v>
      </c>
      <c r="AP12" s="8" t="s">
        <v>63</v>
      </c>
      <c r="AQ12" s="8" t="s">
        <v>63</v>
      </c>
      <c r="AR12" s="8" t="s">
        <v>63</v>
      </c>
      <c r="AS12" s="8" t="s">
        <v>58</v>
      </c>
      <c r="AT12" s="8" t="s">
        <v>57</v>
      </c>
      <c r="AU12" s="8" t="s">
        <v>63</v>
      </c>
      <c r="AV12" s="8" t="s">
        <v>57</v>
      </c>
      <c r="AW12" s="8" t="s">
        <v>58</v>
      </c>
    </row>
    <row r="13" spans="1:49" ht="16.05" customHeight="1" x14ac:dyDescent="0.3">
      <c r="A13" s="8" t="s">
        <v>91</v>
      </c>
      <c r="B13" s="8" t="s">
        <v>92</v>
      </c>
      <c r="C13" s="9">
        <v>46136.093622685177</v>
      </c>
      <c r="D13" s="10" t="s">
        <v>93</v>
      </c>
      <c r="E13" s="8" t="s">
        <v>52</v>
      </c>
      <c r="F13" s="8">
        <v>16</v>
      </c>
      <c r="G13" s="8" t="s">
        <v>53</v>
      </c>
      <c r="H13" s="8" t="s">
        <v>55</v>
      </c>
      <c r="I13" s="8" t="s">
        <v>54</v>
      </c>
      <c r="J13" s="8" t="s">
        <v>53</v>
      </c>
      <c r="K13" s="8" t="s">
        <v>54</v>
      </c>
      <c r="L13" s="8" t="s">
        <v>55</v>
      </c>
      <c r="M13" s="8" t="s">
        <v>54</v>
      </c>
      <c r="N13" s="8" t="s">
        <v>55</v>
      </c>
      <c r="O13" s="8" t="s">
        <v>53</v>
      </c>
      <c r="P13" s="8" t="s">
        <v>55</v>
      </c>
      <c r="Q13" s="8" t="s">
        <v>53</v>
      </c>
      <c r="R13" s="8" t="s">
        <v>55</v>
      </c>
      <c r="S13" s="8" t="s">
        <v>54</v>
      </c>
      <c r="T13" s="8" t="s">
        <v>53</v>
      </c>
      <c r="U13" s="8" t="s">
        <v>54</v>
      </c>
      <c r="V13" s="8" t="s">
        <v>55</v>
      </c>
      <c r="W13" s="8" t="s">
        <v>54</v>
      </c>
      <c r="X13" s="8" t="s">
        <v>55</v>
      </c>
      <c r="Y13" s="8" t="s">
        <v>55</v>
      </c>
      <c r="Z13" s="8" t="s">
        <v>54</v>
      </c>
      <c r="AA13" s="8" t="s">
        <v>54</v>
      </c>
      <c r="AB13" s="8" t="s">
        <v>55</v>
      </c>
      <c r="AC13" s="8" t="s">
        <v>55</v>
      </c>
      <c r="AD13" s="8" t="s">
        <v>54</v>
      </c>
      <c r="AE13" s="8" t="s">
        <v>54</v>
      </c>
      <c r="AF13" s="8" t="s">
        <v>59</v>
      </c>
      <c r="AG13" s="8" t="s">
        <v>57</v>
      </c>
      <c r="AH13" s="8" t="s">
        <v>56</v>
      </c>
      <c r="AI13" s="8" t="s">
        <v>58</v>
      </c>
      <c r="AJ13" s="8" t="s">
        <v>58</v>
      </c>
      <c r="AK13" s="8" t="s">
        <v>63</v>
      </c>
      <c r="AL13" s="8" t="s">
        <v>58</v>
      </c>
      <c r="AM13" s="8" t="s">
        <v>58</v>
      </c>
      <c r="AN13" s="8" t="s">
        <v>58</v>
      </c>
      <c r="AO13" s="8" t="s">
        <v>57</v>
      </c>
      <c r="AP13" s="8" t="s">
        <v>57</v>
      </c>
      <c r="AQ13" s="8" t="s">
        <v>56</v>
      </c>
      <c r="AR13" s="8" t="s">
        <v>56</v>
      </c>
      <c r="AS13" s="8" t="s">
        <v>58</v>
      </c>
      <c r="AT13" s="8" t="s">
        <v>58</v>
      </c>
      <c r="AU13" s="8" t="s">
        <v>58</v>
      </c>
      <c r="AV13" s="8" t="s">
        <v>57</v>
      </c>
      <c r="AW13" s="8" t="s">
        <v>63</v>
      </c>
    </row>
    <row r="14" spans="1:49" ht="16.05" customHeight="1" x14ac:dyDescent="0.3">
      <c r="A14" s="8" t="s">
        <v>94</v>
      </c>
      <c r="B14" s="8" t="s">
        <v>95</v>
      </c>
      <c r="C14" s="9">
        <v>46136.0937037037</v>
      </c>
      <c r="D14" s="10" t="s">
        <v>96</v>
      </c>
      <c r="E14" s="8" t="s">
        <v>52</v>
      </c>
      <c r="F14" s="8">
        <v>16</v>
      </c>
      <c r="G14" s="8" t="s">
        <v>53</v>
      </c>
      <c r="H14" s="8" t="s">
        <v>55</v>
      </c>
      <c r="I14" s="8" t="s">
        <v>55</v>
      </c>
      <c r="J14" s="8" t="s">
        <v>53</v>
      </c>
      <c r="K14" s="8" t="s">
        <v>55</v>
      </c>
      <c r="L14" s="8" t="s">
        <v>55</v>
      </c>
      <c r="M14" s="8" t="s">
        <v>54</v>
      </c>
      <c r="N14" s="8" t="s">
        <v>54</v>
      </c>
      <c r="O14" s="8" t="s">
        <v>53</v>
      </c>
      <c r="P14" s="8" t="s">
        <v>55</v>
      </c>
      <c r="Q14" s="8" t="s">
        <v>53</v>
      </c>
      <c r="R14" s="8" t="s">
        <v>55</v>
      </c>
      <c r="S14" s="8" t="s">
        <v>55</v>
      </c>
      <c r="T14" s="8" t="s">
        <v>54</v>
      </c>
      <c r="U14" s="8" t="s">
        <v>55</v>
      </c>
      <c r="V14" s="8" t="s">
        <v>54</v>
      </c>
      <c r="W14" s="8" t="s">
        <v>53</v>
      </c>
      <c r="X14" s="8" t="s">
        <v>55</v>
      </c>
      <c r="Y14" s="8" t="s">
        <v>55</v>
      </c>
      <c r="Z14" s="8" t="s">
        <v>53</v>
      </c>
      <c r="AA14" s="8" t="s">
        <v>53</v>
      </c>
      <c r="AB14" s="8" t="s">
        <v>55</v>
      </c>
      <c r="AC14" s="8" t="s">
        <v>55</v>
      </c>
      <c r="AD14" s="8" t="s">
        <v>55</v>
      </c>
      <c r="AE14" s="8" t="s">
        <v>53</v>
      </c>
      <c r="AF14" s="8" t="s">
        <v>57</v>
      </c>
      <c r="AG14" s="8" t="s">
        <v>58</v>
      </c>
      <c r="AH14" s="8" t="s">
        <v>58</v>
      </c>
      <c r="AI14" s="8" t="s">
        <v>63</v>
      </c>
      <c r="AJ14" s="8" t="s">
        <v>63</v>
      </c>
      <c r="AK14" s="8" t="s">
        <v>63</v>
      </c>
      <c r="AL14" s="8" t="s">
        <v>63</v>
      </c>
      <c r="AM14" s="8" t="s">
        <v>58</v>
      </c>
      <c r="AN14" s="8" t="s">
        <v>63</v>
      </c>
      <c r="AO14" s="8" t="s">
        <v>63</v>
      </c>
      <c r="AP14" s="8" t="s">
        <v>63</v>
      </c>
      <c r="AQ14" s="8" t="s">
        <v>63</v>
      </c>
      <c r="AR14" s="8" t="s">
        <v>63</v>
      </c>
      <c r="AS14" s="8" t="s">
        <v>63</v>
      </c>
      <c r="AT14" s="8" t="s">
        <v>63</v>
      </c>
      <c r="AU14" s="8" t="s">
        <v>58</v>
      </c>
      <c r="AV14" s="8" t="s">
        <v>63</v>
      </c>
      <c r="AW14" s="8" t="s">
        <v>63</v>
      </c>
    </row>
    <row r="15" spans="1:49" ht="16.05" customHeight="1" x14ac:dyDescent="0.3">
      <c r="A15" s="8" t="s">
        <v>97</v>
      </c>
      <c r="B15" s="8" t="s">
        <v>98</v>
      </c>
      <c r="C15" s="9">
        <v>46136.093761574077</v>
      </c>
      <c r="D15" s="10" t="s">
        <v>99</v>
      </c>
      <c r="E15" s="8" t="s">
        <v>52</v>
      </c>
      <c r="F15" s="8">
        <v>17</v>
      </c>
      <c r="G15" s="8" t="s">
        <v>53</v>
      </c>
      <c r="H15" s="8" t="s">
        <v>55</v>
      </c>
      <c r="I15" s="8" t="s">
        <v>55</v>
      </c>
      <c r="J15" s="8" t="s">
        <v>54</v>
      </c>
      <c r="K15" s="8" t="s">
        <v>55</v>
      </c>
      <c r="L15" s="8" t="s">
        <v>54</v>
      </c>
      <c r="M15" s="8" t="s">
        <v>54</v>
      </c>
      <c r="N15" s="8" t="s">
        <v>55</v>
      </c>
      <c r="O15" s="8" t="s">
        <v>54</v>
      </c>
      <c r="P15" s="8" t="s">
        <v>54</v>
      </c>
      <c r="Q15" s="8" t="s">
        <v>53</v>
      </c>
      <c r="R15" s="8" t="s">
        <v>55</v>
      </c>
      <c r="S15" s="8" t="s">
        <v>55</v>
      </c>
      <c r="T15" s="8" t="s">
        <v>54</v>
      </c>
      <c r="U15" s="8" t="s">
        <v>54</v>
      </c>
      <c r="V15" s="8" t="s">
        <v>55</v>
      </c>
      <c r="W15" s="8" t="s">
        <v>53</v>
      </c>
      <c r="X15" s="8" t="s">
        <v>54</v>
      </c>
      <c r="Y15" s="8" t="s">
        <v>55</v>
      </c>
      <c r="Z15" s="8" t="s">
        <v>54</v>
      </c>
      <c r="AA15" s="8" t="s">
        <v>53</v>
      </c>
      <c r="AB15" s="8" t="s">
        <v>55</v>
      </c>
      <c r="AC15" s="8" t="s">
        <v>54</v>
      </c>
      <c r="AD15" s="8" t="s">
        <v>55</v>
      </c>
      <c r="AE15" s="8" t="s">
        <v>54</v>
      </c>
      <c r="AF15" s="8" t="s">
        <v>56</v>
      </c>
      <c r="AG15" s="8" t="s">
        <v>57</v>
      </c>
      <c r="AH15" s="8" t="s">
        <v>57</v>
      </c>
      <c r="AI15" s="8" t="s">
        <v>58</v>
      </c>
      <c r="AJ15" s="8" t="s">
        <v>58</v>
      </c>
      <c r="AK15" s="8" t="s">
        <v>63</v>
      </c>
      <c r="AL15" s="8" t="s">
        <v>58</v>
      </c>
      <c r="AM15" s="8" t="s">
        <v>56</v>
      </c>
      <c r="AN15" s="8" t="s">
        <v>63</v>
      </c>
      <c r="AO15" s="8" t="s">
        <v>59</v>
      </c>
      <c r="AP15" s="8" t="s">
        <v>56</v>
      </c>
      <c r="AQ15" s="8" t="s">
        <v>58</v>
      </c>
      <c r="AR15" s="8" t="s">
        <v>56</v>
      </c>
      <c r="AS15" s="8" t="s">
        <v>57</v>
      </c>
      <c r="AT15" s="8" t="s">
        <v>56</v>
      </c>
      <c r="AU15" s="8" t="s">
        <v>58</v>
      </c>
      <c r="AV15" s="8" t="s">
        <v>57</v>
      </c>
      <c r="AW15" s="8" t="s">
        <v>56</v>
      </c>
    </row>
    <row r="16" spans="1:49" ht="16.05" customHeight="1" x14ac:dyDescent="0.3">
      <c r="A16" s="8" t="s">
        <v>100</v>
      </c>
      <c r="B16" s="8" t="s">
        <v>101</v>
      </c>
      <c r="C16" s="9">
        <v>46136.093738425923</v>
      </c>
      <c r="D16" s="10" t="s">
        <v>102</v>
      </c>
      <c r="E16" s="8" t="s">
        <v>52</v>
      </c>
      <c r="F16" s="8">
        <v>17</v>
      </c>
      <c r="G16" s="8" t="s">
        <v>53</v>
      </c>
      <c r="H16" s="8" t="s">
        <v>53</v>
      </c>
      <c r="I16" s="8" t="s">
        <v>54</v>
      </c>
      <c r="J16" s="8" t="s">
        <v>53</v>
      </c>
      <c r="K16" s="8" t="s">
        <v>55</v>
      </c>
      <c r="L16" s="8" t="s">
        <v>55</v>
      </c>
      <c r="M16" s="8" t="s">
        <v>55</v>
      </c>
      <c r="N16" s="8" t="s">
        <v>54</v>
      </c>
      <c r="O16" s="8" t="s">
        <v>53</v>
      </c>
      <c r="P16" s="8" t="s">
        <v>54</v>
      </c>
      <c r="Q16" s="8" t="s">
        <v>53</v>
      </c>
      <c r="R16" s="8" t="s">
        <v>55</v>
      </c>
      <c r="S16" s="8" t="s">
        <v>54</v>
      </c>
      <c r="T16" s="8" t="s">
        <v>53</v>
      </c>
      <c r="U16" s="8" t="s">
        <v>54</v>
      </c>
      <c r="V16" s="8" t="s">
        <v>54</v>
      </c>
      <c r="W16" s="8" t="s">
        <v>53</v>
      </c>
      <c r="X16" s="8" t="s">
        <v>55</v>
      </c>
      <c r="Y16" s="8" t="s">
        <v>55</v>
      </c>
      <c r="Z16" s="8" t="s">
        <v>53</v>
      </c>
      <c r="AA16" s="8" t="s">
        <v>53</v>
      </c>
      <c r="AB16" s="8" t="s">
        <v>55</v>
      </c>
      <c r="AC16" s="8" t="s">
        <v>55</v>
      </c>
      <c r="AD16" s="8" t="s">
        <v>53</v>
      </c>
      <c r="AE16" s="8" t="s">
        <v>53</v>
      </c>
      <c r="AF16" s="8" t="s">
        <v>58</v>
      </c>
      <c r="AG16" s="8" t="s">
        <v>58</v>
      </c>
      <c r="AH16" s="8" t="s">
        <v>63</v>
      </c>
      <c r="AI16" s="8" t="s">
        <v>63</v>
      </c>
      <c r="AJ16" s="8" t="s">
        <v>63</v>
      </c>
      <c r="AK16" s="8" t="s">
        <v>63</v>
      </c>
      <c r="AL16" s="8" t="s">
        <v>58</v>
      </c>
      <c r="AM16" s="8" t="s">
        <v>57</v>
      </c>
      <c r="AN16" s="8" t="s">
        <v>63</v>
      </c>
      <c r="AO16" s="8" t="s">
        <v>57</v>
      </c>
      <c r="AP16" s="8" t="s">
        <v>63</v>
      </c>
      <c r="AQ16" s="8" t="s">
        <v>58</v>
      </c>
      <c r="AR16" s="8" t="s">
        <v>58</v>
      </c>
      <c r="AS16" s="8" t="s">
        <v>63</v>
      </c>
      <c r="AT16" s="8" t="s">
        <v>58</v>
      </c>
      <c r="AU16" s="8" t="s">
        <v>63</v>
      </c>
      <c r="AV16" s="8" t="s">
        <v>58</v>
      </c>
      <c r="AW16" s="8" t="s">
        <v>57</v>
      </c>
    </row>
    <row r="17" spans="1:49" ht="16.05" customHeight="1" x14ac:dyDescent="0.3">
      <c r="A17" s="8" t="s">
        <v>103</v>
      </c>
      <c r="B17" s="8" t="s">
        <v>104</v>
      </c>
      <c r="C17" s="9">
        <v>46136.093784722223</v>
      </c>
      <c r="D17" s="10" t="s">
        <v>105</v>
      </c>
      <c r="E17" s="8" t="s">
        <v>52</v>
      </c>
      <c r="F17" s="8">
        <v>16</v>
      </c>
      <c r="G17" s="8" t="s">
        <v>54</v>
      </c>
      <c r="H17" s="8" t="s">
        <v>55</v>
      </c>
      <c r="I17" s="8" t="s">
        <v>55</v>
      </c>
      <c r="J17" s="8" t="s">
        <v>53</v>
      </c>
      <c r="K17" s="8" t="s">
        <v>55</v>
      </c>
      <c r="L17" s="8" t="s">
        <v>55</v>
      </c>
      <c r="M17" s="8" t="s">
        <v>54</v>
      </c>
      <c r="N17" s="8" t="s">
        <v>55</v>
      </c>
      <c r="O17" s="8" t="s">
        <v>54</v>
      </c>
      <c r="P17" s="8" t="s">
        <v>55</v>
      </c>
      <c r="Q17" s="8" t="s">
        <v>53</v>
      </c>
      <c r="R17" s="8" t="s">
        <v>55</v>
      </c>
      <c r="S17" s="8" t="s">
        <v>55</v>
      </c>
      <c r="T17" s="8" t="s">
        <v>54</v>
      </c>
      <c r="U17" s="8" t="s">
        <v>55</v>
      </c>
      <c r="V17" s="8" t="s">
        <v>55</v>
      </c>
      <c r="W17" s="8" t="s">
        <v>53</v>
      </c>
      <c r="X17" s="8" t="s">
        <v>55</v>
      </c>
      <c r="Y17" s="8" t="s">
        <v>55</v>
      </c>
      <c r="Z17" s="8" t="s">
        <v>54</v>
      </c>
      <c r="AA17" s="8" t="s">
        <v>54</v>
      </c>
      <c r="AB17" s="8" t="s">
        <v>55</v>
      </c>
      <c r="AC17" s="8" t="s">
        <v>55</v>
      </c>
      <c r="AD17" s="8" t="s">
        <v>55</v>
      </c>
      <c r="AE17" s="8" t="s">
        <v>54</v>
      </c>
      <c r="AF17" s="8" t="s">
        <v>57</v>
      </c>
      <c r="AG17" s="8" t="s">
        <v>57</v>
      </c>
      <c r="AH17" s="8" t="s">
        <v>57</v>
      </c>
      <c r="AI17" s="8" t="s">
        <v>58</v>
      </c>
      <c r="AJ17" s="8" t="s">
        <v>63</v>
      </c>
      <c r="AK17" s="8" t="s">
        <v>57</v>
      </c>
      <c r="AL17" s="8" t="s">
        <v>57</v>
      </c>
      <c r="AM17" s="8" t="s">
        <v>57</v>
      </c>
      <c r="AN17" s="8" t="s">
        <v>58</v>
      </c>
      <c r="AO17" s="8" t="s">
        <v>58</v>
      </c>
      <c r="AP17" s="8" t="s">
        <v>58</v>
      </c>
      <c r="AQ17" s="8" t="s">
        <v>58</v>
      </c>
      <c r="AR17" s="8" t="s">
        <v>57</v>
      </c>
      <c r="AS17" s="8" t="s">
        <v>58</v>
      </c>
      <c r="AT17" s="8" t="s">
        <v>58</v>
      </c>
      <c r="AU17" s="8" t="s">
        <v>57</v>
      </c>
      <c r="AV17" s="8" t="s">
        <v>58</v>
      </c>
      <c r="AW17" s="8" t="s">
        <v>58</v>
      </c>
    </row>
    <row r="18" spans="1:49" ht="16.05" customHeight="1" x14ac:dyDescent="0.3">
      <c r="A18" s="8" t="s">
        <v>106</v>
      </c>
      <c r="B18" s="8" t="s">
        <v>107</v>
      </c>
      <c r="C18" s="9">
        <v>46136.093877314823</v>
      </c>
      <c r="D18" s="10" t="s">
        <v>108</v>
      </c>
      <c r="E18" s="8" t="s">
        <v>52</v>
      </c>
      <c r="F18" s="8">
        <v>16</v>
      </c>
      <c r="G18" s="8" t="s">
        <v>53</v>
      </c>
      <c r="H18" s="8" t="s">
        <v>54</v>
      </c>
      <c r="I18" s="8" t="s">
        <v>54</v>
      </c>
      <c r="J18" s="8" t="s">
        <v>53</v>
      </c>
      <c r="K18" s="8" t="s">
        <v>55</v>
      </c>
      <c r="L18" s="8" t="s">
        <v>54</v>
      </c>
      <c r="M18" s="8" t="s">
        <v>54</v>
      </c>
      <c r="N18" s="8" t="s">
        <v>54</v>
      </c>
      <c r="O18" s="8" t="s">
        <v>53</v>
      </c>
      <c r="P18" s="8" t="s">
        <v>53</v>
      </c>
      <c r="Q18" s="8" t="s">
        <v>53</v>
      </c>
      <c r="R18" s="8" t="s">
        <v>55</v>
      </c>
      <c r="S18" s="8" t="s">
        <v>54</v>
      </c>
      <c r="T18" s="8" t="s">
        <v>53</v>
      </c>
      <c r="U18" s="8" t="s">
        <v>53</v>
      </c>
      <c r="V18" s="8" t="s">
        <v>54</v>
      </c>
      <c r="W18" s="8" t="s">
        <v>53</v>
      </c>
      <c r="X18" s="8" t="s">
        <v>55</v>
      </c>
      <c r="Y18" s="8" t="s">
        <v>55</v>
      </c>
      <c r="Z18" s="8" t="s">
        <v>54</v>
      </c>
      <c r="AA18" s="8" t="s">
        <v>53</v>
      </c>
      <c r="AB18" s="8" t="s">
        <v>55</v>
      </c>
      <c r="AC18" s="8" t="s">
        <v>55</v>
      </c>
      <c r="AD18" s="8" t="s">
        <v>54</v>
      </c>
      <c r="AE18" s="8" t="s">
        <v>54</v>
      </c>
      <c r="AF18" s="8" t="s">
        <v>56</v>
      </c>
      <c r="AG18" s="8" t="s">
        <v>57</v>
      </c>
      <c r="AH18" s="8" t="s">
        <v>56</v>
      </c>
      <c r="AI18" s="8" t="s">
        <v>63</v>
      </c>
      <c r="AJ18" s="8" t="s">
        <v>57</v>
      </c>
      <c r="AK18" s="8" t="s">
        <v>57</v>
      </c>
      <c r="AL18" s="8" t="s">
        <v>56</v>
      </c>
      <c r="AM18" s="8" t="s">
        <v>58</v>
      </c>
      <c r="AN18" s="8" t="s">
        <v>58</v>
      </c>
      <c r="AO18" s="8" t="s">
        <v>58</v>
      </c>
      <c r="AP18" s="8" t="s">
        <v>58</v>
      </c>
      <c r="AQ18" s="8" t="s">
        <v>59</v>
      </c>
      <c r="AR18" s="8" t="s">
        <v>56</v>
      </c>
      <c r="AS18" s="8" t="s">
        <v>58</v>
      </c>
      <c r="AT18" s="8" t="s">
        <v>58</v>
      </c>
      <c r="AU18" s="8" t="s">
        <v>63</v>
      </c>
      <c r="AV18" s="8" t="s">
        <v>57</v>
      </c>
      <c r="AW18" s="8" t="s">
        <v>63</v>
      </c>
    </row>
    <row r="19" spans="1:49" ht="16.05" customHeight="1" x14ac:dyDescent="0.3">
      <c r="A19" s="8" t="s">
        <v>109</v>
      </c>
      <c r="B19" s="8" t="s">
        <v>110</v>
      </c>
      <c r="C19" s="9">
        <v>46136.093935185178</v>
      </c>
      <c r="D19" s="10" t="s">
        <v>111</v>
      </c>
      <c r="E19" s="8" t="s">
        <v>52</v>
      </c>
      <c r="F19" s="8">
        <v>16</v>
      </c>
      <c r="G19" s="8" t="s">
        <v>53</v>
      </c>
      <c r="H19" s="8" t="s">
        <v>54</v>
      </c>
      <c r="I19" s="8" t="s">
        <v>54</v>
      </c>
      <c r="J19" s="8" t="s">
        <v>53</v>
      </c>
      <c r="K19" s="8" t="s">
        <v>54</v>
      </c>
      <c r="L19" s="8" t="s">
        <v>53</v>
      </c>
      <c r="M19" s="8" t="s">
        <v>55</v>
      </c>
      <c r="N19" s="8" t="s">
        <v>53</v>
      </c>
      <c r="O19" s="8" t="s">
        <v>53</v>
      </c>
      <c r="P19" s="8" t="s">
        <v>53</v>
      </c>
      <c r="Q19" s="8" t="s">
        <v>53</v>
      </c>
      <c r="R19" s="8" t="s">
        <v>55</v>
      </c>
      <c r="S19" s="8" t="s">
        <v>54</v>
      </c>
      <c r="T19" s="8" t="s">
        <v>53</v>
      </c>
      <c r="U19" s="8" t="s">
        <v>53</v>
      </c>
      <c r="V19" s="8" t="s">
        <v>53</v>
      </c>
      <c r="W19" s="8" t="s">
        <v>53</v>
      </c>
      <c r="X19" s="8" t="s">
        <v>55</v>
      </c>
      <c r="Y19" s="8" t="s">
        <v>55</v>
      </c>
      <c r="Z19" s="8" t="s">
        <v>53</v>
      </c>
      <c r="AA19" s="8" t="s">
        <v>53</v>
      </c>
      <c r="AB19" s="8" t="s">
        <v>55</v>
      </c>
      <c r="AC19" s="8" t="s">
        <v>53</v>
      </c>
      <c r="AD19" s="8" t="s">
        <v>54</v>
      </c>
      <c r="AE19" s="8" t="s">
        <v>54</v>
      </c>
      <c r="AF19" s="8" t="s">
        <v>56</v>
      </c>
      <c r="AG19" s="8" t="s">
        <v>56</v>
      </c>
      <c r="AH19" s="8" t="s">
        <v>56</v>
      </c>
      <c r="AI19" s="8" t="s">
        <v>63</v>
      </c>
      <c r="AJ19" s="8" t="s">
        <v>63</v>
      </c>
      <c r="AK19" s="8" t="s">
        <v>57</v>
      </c>
      <c r="AL19" s="8" t="s">
        <v>63</v>
      </c>
      <c r="AM19" s="8" t="s">
        <v>59</v>
      </c>
      <c r="AN19" s="8" t="s">
        <v>58</v>
      </c>
      <c r="AO19" s="8" t="s">
        <v>57</v>
      </c>
      <c r="AP19" s="8" t="s">
        <v>59</v>
      </c>
      <c r="AQ19" s="8" t="s">
        <v>56</v>
      </c>
      <c r="AR19" s="8" t="s">
        <v>56</v>
      </c>
      <c r="AS19" s="8" t="s">
        <v>57</v>
      </c>
      <c r="AT19" s="8" t="s">
        <v>58</v>
      </c>
      <c r="AU19" s="8" t="s">
        <v>57</v>
      </c>
      <c r="AV19" s="8" t="s">
        <v>58</v>
      </c>
      <c r="AW19" s="8" t="s">
        <v>63</v>
      </c>
    </row>
    <row r="20" spans="1:49" ht="16.05" customHeight="1" x14ac:dyDescent="0.3">
      <c r="A20" s="8" t="s">
        <v>112</v>
      </c>
      <c r="B20" s="8" t="s">
        <v>113</v>
      </c>
      <c r="C20" s="9">
        <v>46136.094317129631</v>
      </c>
      <c r="D20" s="10" t="s">
        <v>114</v>
      </c>
      <c r="E20" s="8" t="s">
        <v>52</v>
      </c>
      <c r="F20" s="8">
        <v>16</v>
      </c>
      <c r="G20" s="8" t="s">
        <v>53</v>
      </c>
      <c r="H20" s="8" t="s">
        <v>53</v>
      </c>
      <c r="I20" s="8" t="s">
        <v>54</v>
      </c>
      <c r="J20" s="8" t="s">
        <v>53</v>
      </c>
      <c r="K20" s="8" t="s">
        <v>54</v>
      </c>
      <c r="L20" s="8" t="s">
        <v>55</v>
      </c>
      <c r="M20" s="8" t="s">
        <v>54</v>
      </c>
      <c r="N20" s="8" t="s">
        <v>53</v>
      </c>
      <c r="O20" s="8" t="s">
        <v>53</v>
      </c>
      <c r="P20" s="8" t="s">
        <v>55</v>
      </c>
      <c r="Q20" s="8" t="s">
        <v>53</v>
      </c>
      <c r="R20" s="8" t="s">
        <v>55</v>
      </c>
      <c r="S20" s="8" t="s">
        <v>55</v>
      </c>
      <c r="T20" s="8" t="s">
        <v>53</v>
      </c>
      <c r="U20" s="8" t="s">
        <v>54</v>
      </c>
      <c r="V20" s="8" t="s">
        <v>53</v>
      </c>
      <c r="W20" s="8" t="s">
        <v>53</v>
      </c>
      <c r="X20" s="8" t="s">
        <v>55</v>
      </c>
      <c r="Y20" s="8" t="s">
        <v>55</v>
      </c>
      <c r="Z20" s="8" t="s">
        <v>54</v>
      </c>
      <c r="AA20" s="8" t="s">
        <v>53</v>
      </c>
      <c r="AB20" s="8" t="s">
        <v>55</v>
      </c>
      <c r="AC20" s="8" t="s">
        <v>54</v>
      </c>
      <c r="AD20" s="8" t="s">
        <v>53</v>
      </c>
      <c r="AE20" s="8" t="s">
        <v>54</v>
      </c>
      <c r="AF20" s="8" t="s">
        <v>59</v>
      </c>
      <c r="AG20" s="8" t="s">
        <v>57</v>
      </c>
      <c r="AH20" s="8" t="s">
        <v>56</v>
      </c>
      <c r="AI20" s="8" t="s">
        <v>58</v>
      </c>
      <c r="AJ20" s="8" t="s">
        <v>58</v>
      </c>
      <c r="AK20" s="8" t="s">
        <v>63</v>
      </c>
      <c r="AL20" s="8" t="s">
        <v>58</v>
      </c>
      <c r="AM20" s="8" t="s">
        <v>56</v>
      </c>
      <c r="AN20" s="8" t="s">
        <v>57</v>
      </c>
      <c r="AO20" s="8" t="s">
        <v>59</v>
      </c>
      <c r="AP20" s="8" t="s">
        <v>58</v>
      </c>
      <c r="AQ20" s="8" t="s">
        <v>56</v>
      </c>
      <c r="AR20" s="8" t="s">
        <v>57</v>
      </c>
      <c r="AS20" s="8" t="s">
        <v>57</v>
      </c>
      <c r="AT20" s="8" t="s">
        <v>56</v>
      </c>
      <c r="AU20" s="8" t="s">
        <v>57</v>
      </c>
      <c r="AV20" s="8" t="s">
        <v>57</v>
      </c>
      <c r="AW20" s="8" t="s">
        <v>58</v>
      </c>
    </row>
    <row r="21" spans="1:49" ht="16.05" customHeight="1" x14ac:dyDescent="0.3">
      <c r="A21" s="8" t="s">
        <v>115</v>
      </c>
      <c r="B21" s="8" t="s">
        <v>116</v>
      </c>
      <c r="C21" s="9">
        <v>46136.094687500001</v>
      </c>
      <c r="D21" s="10" t="s">
        <v>117</v>
      </c>
      <c r="E21" s="9" t="s">
        <v>52</v>
      </c>
      <c r="F21" s="8">
        <v>16</v>
      </c>
      <c r="G21" s="8" t="s">
        <v>53</v>
      </c>
      <c r="H21" s="8" t="s">
        <v>53</v>
      </c>
      <c r="I21" s="8" t="s">
        <v>55</v>
      </c>
      <c r="J21" s="8" t="s">
        <v>53</v>
      </c>
      <c r="K21" s="8" t="s">
        <v>55</v>
      </c>
      <c r="L21" s="8" t="s">
        <v>55</v>
      </c>
      <c r="M21" s="8" t="s">
        <v>55</v>
      </c>
      <c r="N21" s="8" t="s">
        <v>55</v>
      </c>
      <c r="O21" s="8" t="s">
        <v>53</v>
      </c>
      <c r="P21" s="8" t="s">
        <v>55</v>
      </c>
      <c r="Q21" s="8" t="s">
        <v>53</v>
      </c>
      <c r="R21" s="8" t="s">
        <v>55</v>
      </c>
      <c r="S21" s="8" t="s">
        <v>55</v>
      </c>
      <c r="T21" s="8" t="s">
        <v>53</v>
      </c>
      <c r="U21" s="8" t="s">
        <v>53</v>
      </c>
      <c r="V21" s="8" t="s">
        <v>55</v>
      </c>
      <c r="W21" s="8" t="s">
        <v>53</v>
      </c>
      <c r="X21" s="8" t="s">
        <v>55</v>
      </c>
      <c r="Y21" s="8" t="s">
        <v>55</v>
      </c>
      <c r="Z21" s="8" t="s">
        <v>53</v>
      </c>
      <c r="AA21" s="8" t="s">
        <v>53</v>
      </c>
      <c r="AB21" s="8" t="s">
        <v>55</v>
      </c>
      <c r="AC21" s="8" t="s">
        <v>55</v>
      </c>
      <c r="AD21" s="8" t="s">
        <v>55</v>
      </c>
      <c r="AE21" s="8" t="s">
        <v>55</v>
      </c>
      <c r="AF21" s="8" t="s">
        <v>59</v>
      </c>
      <c r="AG21" s="8" t="s">
        <v>63</v>
      </c>
      <c r="AH21" s="8" t="s">
        <v>57</v>
      </c>
      <c r="AI21" s="8" t="s">
        <v>58</v>
      </c>
      <c r="AJ21" s="8" t="s">
        <v>63</v>
      </c>
      <c r="AK21" s="8" t="s">
        <v>63</v>
      </c>
      <c r="AL21" s="8" t="s">
        <v>57</v>
      </c>
      <c r="AM21" s="8" t="s">
        <v>56</v>
      </c>
      <c r="AN21" s="8" t="s">
        <v>58</v>
      </c>
      <c r="AO21" s="8" t="s">
        <v>58</v>
      </c>
      <c r="AP21" s="8" t="s">
        <v>63</v>
      </c>
      <c r="AQ21" s="8" t="s">
        <v>63</v>
      </c>
      <c r="AR21" s="8" t="s">
        <v>57</v>
      </c>
      <c r="AS21" s="8" t="s">
        <v>63</v>
      </c>
      <c r="AT21" s="8" t="s">
        <v>58</v>
      </c>
      <c r="AU21" s="8" t="s">
        <v>63</v>
      </c>
      <c r="AV21" s="8" t="s">
        <v>56</v>
      </c>
      <c r="AW21" s="8" t="s">
        <v>58</v>
      </c>
    </row>
    <row r="22" spans="1:49" ht="16.05" customHeight="1" x14ac:dyDescent="0.3">
      <c r="A22" s="8" t="s">
        <v>118</v>
      </c>
      <c r="B22" s="8" t="s">
        <v>119</v>
      </c>
      <c r="C22" s="9">
        <v>46136.094687500001</v>
      </c>
      <c r="D22" s="10" t="s">
        <v>120</v>
      </c>
      <c r="E22" s="8" t="s">
        <v>121</v>
      </c>
      <c r="F22" s="8">
        <v>17</v>
      </c>
      <c r="G22" s="8" t="s">
        <v>53</v>
      </c>
      <c r="H22" s="8" t="s">
        <v>53</v>
      </c>
      <c r="I22" s="8" t="s">
        <v>53</v>
      </c>
      <c r="J22" s="8" t="s">
        <v>53</v>
      </c>
      <c r="K22" s="8" t="s">
        <v>53</v>
      </c>
      <c r="L22" s="8" t="s">
        <v>55</v>
      </c>
      <c r="M22" s="8" t="s">
        <v>54</v>
      </c>
      <c r="N22" s="8" t="s">
        <v>53</v>
      </c>
      <c r="O22" s="8" t="s">
        <v>53</v>
      </c>
      <c r="P22" s="8" t="s">
        <v>53</v>
      </c>
      <c r="Q22" s="8" t="s">
        <v>53</v>
      </c>
      <c r="R22" s="8" t="s">
        <v>55</v>
      </c>
      <c r="S22" s="8" t="s">
        <v>54</v>
      </c>
      <c r="T22" s="8" t="s">
        <v>54</v>
      </c>
      <c r="U22" s="8" t="s">
        <v>55</v>
      </c>
      <c r="V22" s="8" t="s">
        <v>54</v>
      </c>
      <c r="W22" s="8" t="s">
        <v>53</v>
      </c>
      <c r="X22" s="8" t="s">
        <v>53</v>
      </c>
      <c r="Y22" s="8" t="s">
        <v>55</v>
      </c>
      <c r="Z22" s="8" t="s">
        <v>53</v>
      </c>
      <c r="AA22" s="8" t="s">
        <v>53</v>
      </c>
      <c r="AB22" s="8" t="s">
        <v>55</v>
      </c>
      <c r="AC22" s="8" t="s">
        <v>54</v>
      </c>
      <c r="AD22" s="8" t="s">
        <v>54</v>
      </c>
      <c r="AE22" s="8" t="s">
        <v>53</v>
      </c>
      <c r="AF22" s="8" t="s">
        <v>57</v>
      </c>
      <c r="AG22" s="8" t="s">
        <v>63</v>
      </c>
      <c r="AH22" s="8" t="s">
        <v>57</v>
      </c>
      <c r="AI22" s="8" t="s">
        <v>57</v>
      </c>
      <c r="AJ22" s="8" t="s">
        <v>63</v>
      </c>
      <c r="AK22" s="8" t="s">
        <v>63</v>
      </c>
      <c r="AL22" s="8" t="s">
        <v>57</v>
      </c>
      <c r="AM22" s="8" t="s">
        <v>57</v>
      </c>
      <c r="AN22" s="8" t="s">
        <v>58</v>
      </c>
      <c r="AO22" s="8" t="s">
        <v>57</v>
      </c>
      <c r="AP22" s="8" t="s">
        <v>57</v>
      </c>
      <c r="AQ22" s="8" t="s">
        <v>56</v>
      </c>
      <c r="AR22" s="8" t="s">
        <v>58</v>
      </c>
      <c r="AS22" s="8" t="s">
        <v>58</v>
      </c>
      <c r="AT22" s="8" t="s">
        <v>58</v>
      </c>
      <c r="AU22" s="8" t="s">
        <v>63</v>
      </c>
      <c r="AV22" s="8" t="s">
        <v>58</v>
      </c>
      <c r="AW22" s="8" t="s">
        <v>63</v>
      </c>
    </row>
    <row r="23" spans="1:49" ht="16.05" customHeight="1" x14ac:dyDescent="0.3">
      <c r="A23" s="8" t="s">
        <v>122</v>
      </c>
      <c r="B23" s="8" t="s">
        <v>123</v>
      </c>
      <c r="C23" s="9">
        <v>46136.094814814824</v>
      </c>
      <c r="D23" s="10" t="s">
        <v>124</v>
      </c>
      <c r="E23" s="8" t="s">
        <v>52</v>
      </c>
      <c r="F23" s="8">
        <v>17</v>
      </c>
      <c r="G23" s="8" t="s">
        <v>53</v>
      </c>
      <c r="H23" s="8" t="s">
        <v>54</v>
      </c>
      <c r="I23" s="8" t="s">
        <v>53</v>
      </c>
      <c r="J23" s="8" t="s">
        <v>53</v>
      </c>
      <c r="K23" s="8" t="s">
        <v>54</v>
      </c>
      <c r="L23" s="8" t="s">
        <v>55</v>
      </c>
      <c r="M23" s="8" t="s">
        <v>55</v>
      </c>
      <c r="N23" s="8" t="s">
        <v>53</v>
      </c>
      <c r="O23" s="8" t="s">
        <v>53</v>
      </c>
      <c r="P23" s="8" t="s">
        <v>53</v>
      </c>
      <c r="Q23" s="8" t="s">
        <v>53</v>
      </c>
      <c r="R23" s="8" t="s">
        <v>54</v>
      </c>
      <c r="S23" s="8" t="s">
        <v>53</v>
      </c>
      <c r="T23" s="8" t="s">
        <v>54</v>
      </c>
      <c r="U23" s="8" t="s">
        <v>55</v>
      </c>
      <c r="V23" s="8" t="s">
        <v>54</v>
      </c>
      <c r="W23" s="8" t="s">
        <v>53</v>
      </c>
      <c r="X23" s="8" t="s">
        <v>55</v>
      </c>
      <c r="Y23" s="8" t="s">
        <v>55</v>
      </c>
      <c r="Z23" s="8" t="s">
        <v>53</v>
      </c>
      <c r="AA23" s="8" t="s">
        <v>53</v>
      </c>
      <c r="AB23" s="8" t="s">
        <v>55</v>
      </c>
      <c r="AC23" s="8" t="s">
        <v>53</v>
      </c>
      <c r="AD23" s="8" t="s">
        <v>54</v>
      </c>
      <c r="AE23" s="8" t="s">
        <v>53</v>
      </c>
      <c r="AF23" s="8" t="s">
        <v>57</v>
      </c>
      <c r="AG23" s="8" t="s">
        <v>58</v>
      </c>
      <c r="AH23" s="8" t="s">
        <v>58</v>
      </c>
      <c r="AI23" s="8" t="s">
        <v>57</v>
      </c>
      <c r="AJ23" s="8" t="s">
        <v>56</v>
      </c>
      <c r="AK23" s="8" t="s">
        <v>63</v>
      </c>
      <c r="AL23" s="8" t="s">
        <v>57</v>
      </c>
      <c r="AM23" s="8" t="s">
        <v>58</v>
      </c>
      <c r="AN23" s="8" t="s">
        <v>63</v>
      </c>
      <c r="AO23" s="8" t="s">
        <v>58</v>
      </c>
      <c r="AP23" s="8" t="s">
        <v>57</v>
      </c>
      <c r="AQ23" s="8" t="s">
        <v>63</v>
      </c>
      <c r="AR23" s="8" t="s">
        <v>63</v>
      </c>
      <c r="AS23" s="8" t="s">
        <v>63</v>
      </c>
      <c r="AT23" s="8" t="s">
        <v>57</v>
      </c>
      <c r="AU23" s="8" t="s">
        <v>63</v>
      </c>
      <c r="AV23" s="8" t="s">
        <v>63</v>
      </c>
      <c r="AW23" s="8" t="s">
        <v>58</v>
      </c>
    </row>
    <row r="24" spans="1:49" ht="16.05" customHeight="1" x14ac:dyDescent="0.3">
      <c r="A24" s="8" t="s">
        <v>125</v>
      </c>
      <c r="B24" s="8" t="s">
        <v>126</v>
      </c>
      <c r="C24" s="9">
        <v>46136.09480324074</v>
      </c>
      <c r="D24" s="10" t="s">
        <v>127</v>
      </c>
      <c r="E24" s="9" t="s">
        <v>52</v>
      </c>
      <c r="F24" s="8">
        <v>17</v>
      </c>
      <c r="G24" s="8" t="s">
        <v>53</v>
      </c>
      <c r="H24" s="8" t="s">
        <v>54</v>
      </c>
      <c r="I24" s="8" t="s">
        <v>53</v>
      </c>
      <c r="J24" s="8" t="s">
        <v>54</v>
      </c>
      <c r="K24" s="8" t="s">
        <v>54</v>
      </c>
      <c r="L24" s="8" t="s">
        <v>55</v>
      </c>
      <c r="M24" s="8" t="s">
        <v>53</v>
      </c>
      <c r="N24" s="8" t="s">
        <v>53</v>
      </c>
      <c r="O24" s="8" t="s">
        <v>54</v>
      </c>
      <c r="P24" s="8" t="s">
        <v>54</v>
      </c>
      <c r="Q24" s="8" t="s">
        <v>54</v>
      </c>
      <c r="R24" s="8" t="s">
        <v>55</v>
      </c>
      <c r="S24" s="8" t="s">
        <v>53</v>
      </c>
      <c r="T24" s="8" t="s">
        <v>54</v>
      </c>
      <c r="U24" s="8" t="s">
        <v>53</v>
      </c>
      <c r="V24" s="8" t="s">
        <v>53</v>
      </c>
      <c r="W24" s="8" t="s">
        <v>54</v>
      </c>
      <c r="X24" s="8" t="s">
        <v>55</v>
      </c>
      <c r="Y24" s="8" t="s">
        <v>53</v>
      </c>
      <c r="Z24" s="8" t="s">
        <v>53</v>
      </c>
      <c r="AA24" s="8" t="s">
        <v>54</v>
      </c>
      <c r="AB24" s="8" t="s">
        <v>55</v>
      </c>
      <c r="AC24" s="8" t="s">
        <v>55</v>
      </c>
      <c r="AD24" s="8" t="s">
        <v>53</v>
      </c>
      <c r="AE24" s="8" t="s">
        <v>53</v>
      </c>
      <c r="AF24" s="8" t="s">
        <v>56</v>
      </c>
      <c r="AG24" s="8" t="s">
        <v>58</v>
      </c>
      <c r="AH24" s="8" t="s">
        <v>58</v>
      </c>
      <c r="AI24" s="8" t="s">
        <v>57</v>
      </c>
      <c r="AJ24" s="8" t="s">
        <v>57</v>
      </c>
      <c r="AK24" s="8" t="s">
        <v>57</v>
      </c>
      <c r="AL24" s="8" t="s">
        <v>59</v>
      </c>
      <c r="AM24" s="8" t="s">
        <v>59</v>
      </c>
      <c r="AN24" s="8" t="s">
        <v>56</v>
      </c>
      <c r="AO24" s="8" t="s">
        <v>58</v>
      </c>
      <c r="AP24" s="8" t="s">
        <v>57</v>
      </c>
      <c r="AQ24" s="8" t="s">
        <v>59</v>
      </c>
      <c r="AR24" s="8" t="s">
        <v>59</v>
      </c>
      <c r="AS24" s="8" t="s">
        <v>58</v>
      </c>
      <c r="AT24" s="8" t="s">
        <v>57</v>
      </c>
      <c r="AU24" s="8" t="s">
        <v>56</v>
      </c>
      <c r="AV24" s="8" t="s">
        <v>59</v>
      </c>
      <c r="AW24" s="8" t="s">
        <v>56</v>
      </c>
    </row>
    <row r="25" spans="1:49" ht="16.05" customHeight="1" x14ac:dyDescent="0.3">
      <c r="A25" s="8" t="s">
        <v>128</v>
      </c>
      <c r="B25" s="8" t="s">
        <v>129</v>
      </c>
      <c r="C25" s="9">
        <v>46136.094861111109</v>
      </c>
      <c r="D25" s="10" t="s">
        <v>130</v>
      </c>
      <c r="E25" s="8" t="s">
        <v>52</v>
      </c>
      <c r="F25" s="8">
        <v>17</v>
      </c>
      <c r="G25" s="8" t="s">
        <v>53</v>
      </c>
      <c r="H25" s="8" t="s">
        <v>54</v>
      </c>
      <c r="I25" s="8" t="s">
        <v>55</v>
      </c>
      <c r="J25" s="8" t="s">
        <v>53</v>
      </c>
      <c r="K25" s="8" t="s">
        <v>55</v>
      </c>
      <c r="L25" s="8" t="s">
        <v>55</v>
      </c>
      <c r="M25" s="8" t="s">
        <v>55</v>
      </c>
      <c r="N25" s="8" t="s">
        <v>54</v>
      </c>
      <c r="O25" s="8" t="s">
        <v>53</v>
      </c>
      <c r="P25" s="8" t="s">
        <v>53</v>
      </c>
      <c r="Q25" s="8" t="s">
        <v>53</v>
      </c>
      <c r="R25" s="8" t="s">
        <v>55</v>
      </c>
      <c r="S25" s="8" t="s">
        <v>54</v>
      </c>
      <c r="T25" s="8" t="s">
        <v>54</v>
      </c>
      <c r="U25" s="8" t="s">
        <v>54</v>
      </c>
      <c r="V25" s="8" t="s">
        <v>54</v>
      </c>
      <c r="W25" s="8" t="s">
        <v>53</v>
      </c>
      <c r="X25" s="8" t="s">
        <v>55</v>
      </c>
      <c r="Y25" s="8" t="s">
        <v>55</v>
      </c>
      <c r="Z25" s="8" t="s">
        <v>53</v>
      </c>
      <c r="AA25" s="8" t="s">
        <v>54</v>
      </c>
      <c r="AB25" s="8" t="s">
        <v>55</v>
      </c>
      <c r="AC25" s="8" t="s">
        <v>55</v>
      </c>
      <c r="AD25" s="8" t="s">
        <v>55</v>
      </c>
      <c r="AE25" s="8" t="s">
        <v>54</v>
      </c>
      <c r="AF25" s="8" t="s">
        <v>56</v>
      </c>
      <c r="AG25" s="8" t="s">
        <v>57</v>
      </c>
      <c r="AH25" s="8" t="s">
        <v>57</v>
      </c>
      <c r="AI25" s="8" t="s">
        <v>58</v>
      </c>
      <c r="AJ25" s="8" t="s">
        <v>58</v>
      </c>
      <c r="AK25" s="8" t="s">
        <v>58</v>
      </c>
      <c r="AL25" s="8" t="s">
        <v>57</v>
      </c>
      <c r="AM25" s="8" t="s">
        <v>56</v>
      </c>
      <c r="AN25" s="8" t="s">
        <v>57</v>
      </c>
      <c r="AO25" s="8" t="s">
        <v>57</v>
      </c>
      <c r="AP25" s="8" t="s">
        <v>58</v>
      </c>
      <c r="AQ25" s="8" t="s">
        <v>57</v>
      </c>
      <c r="AR25" s="8" t="s">
        <v>57</v>
      </c>
      <c r="AS25" s="8" t="s">
        <v>57</v>
      </c>
      <c r="AT25" s="8" t="s">
        <v>58</v>
      </c>
      <c r="AU25" s="8" t="s">
        <v>57</v>
      </c>
      <c r="AV25" s="8" t="s">
        <v>58</v>
      </c>
      <c r="AW25" s="8" t="s">
        <v>57</v>
      </c>
    </row>
    <row r="26" spans="1:49" ht="16.05" customHeight="1" x14ac:dyDescent="0.3">
      <c r="A26" s="8" t="s">
        <v>131</v>
      </c>
      <c r="B26" s="8" t="s">
        <v>132</v>
      </c>
      <c r="C26" s="9">
        <v>46136.095081018517</v>
      </c>
      <c r="D26" s="10" t="s">
        <v>133</v>
      </c>
      <c r="E26" s="8" t="s">
        <v>52</v>
      </c>
      <c r="F26" s="8">
        <v>17</v>
      </c>
      <c r="G26" s="8" t="s">
        <v>53</v>
      </c>
      <c r="H26" s="8" t="s">
        <v>55</v>
      </c>
      <c r="I26" s="8" t="s">
        <v>55</v>
      </c>
      <c r="J26" s="8" t="s">
        <v>54</v>
      </c>
      <c r="K26" s="8" t="s">
        <v>54</v>
      </c>
      <c r="L26" s="8" t="s">
        <v>55</v>
      </c>
      <c r="M26" s="8" t="s">
        <v>54</v>
      </c>
      <c r="N26" s="8" t="s">
        <v>54</v>
      </c>
      <c r="O26" s="8" t="s">
        <v>54</v>
      </c>
      <c r="P26" s="8" t="s">
        <v>54</v>
      </c>
      <c r="Q26" s="8" t="s">
        <v>53</v>
      </c>
      <c r="R26" s="8" t="s">
        <v>55</v>
      </c>
      <c r="S26" s="8" t="s">
        <v>54</v>
      </c>
      <c r="T26" s="8" t="s">
        <v>54</v>
      </c>
      <c r="U26" s="8" t="s">
        <v>54</v>
      </c>
      <c r="V26" s="8" t="s">
        <v>54</v>
      </c>
      <c r="W26" s="8" t="s">
        <v>53</v>
      </c>
      <c r="X26" s="8" t="s">
        <v>55</v>
      </c>
      <c r="Y26" s="8" t="s">
        <v>55</v>
      </c>
      <c r="Z26" s="8" t="s">
        <v>54</v>
      </c>
      <c r="AA26" s="8" t="s">
        <v>53</v>
      </c>
      <c r="AB26" s="8" t="s">
        <v>55</v>
      </c>
      <c r="AC26" s="8" t="s">
        <v>54</v>
      </c>
      <c r="AD26" s="8" t="s">
        <v>53</v>
      </c>
      <c r="AE26" s="8" t="s">
        <v>53</v>
      </c>
      <c r="AF26" s="8" t="s">
        <v>57</v>
      </c>
      <c r="AG26" s="8" t="s">
        <v>57</v>
      </c>
      <c r="AH26" s="8" t="s">
        <v>56</v>
      </c>
      <c r="AI26" s="8" t="s">
        <v>56</v>
      </c>
      <c r="AJ26" s="8" t="s">
        <v>63</v>
      </c>
      <c r="AK26" s="8" t="s">
        <v>57</v>
      </c>
      <c r="AL26" s="8" t="s">
        <v>57</v>
      </c>
      <c r="AM26" s="8" t="s">
        <v>59</v>
      </c>
      <c r="AN26" s="8" t="s">
        <v>63</v>
      </c>
      <c r="AO26" s="8" t="s">
        <v>59</v>
      </c>
      <c r="AP26" s="8" t="s">
        <v>63</v>
      </c>
      <c r="AQ26" s="8" t="s">
        <v>58</v>
      </c>
      <c r="AR26" s="8" t="s">
        <v>57</v>
      </c>
      <c r="AS26" s="8" t="s">
        <v>57</v>
      </c>
      <c r="AT26" s="8" t="s">
        <v>58</v>
      </c>
      <c r="AU26" s="8" t="s">
        <v>58</v>
      </c>
      <c r="AV26" s="8" t="s">
        <v>58</v>
      </c>
      <c r="AW26" s="8" t="s">
        <v>57</v>
      </c>
    </row>
    <row r="27" spans="1:49" ht="16.05" customHeight="1" x14ac:dyDescent="0.3">
      <c r="A27" s="8" t="s">
        <v>134</v>
      </c>
      <c r="B27" s="8" t="s">
        <v>135</v>
      </c>
      <c r="C27" s="9">
        <v>46136.095138888893</v>
      </c>
      <c r="D27" s="10" t="s">
        <v>136</v>
      </c>
      <c r="E27" s="8" t="s">
        <v>52</v>
      </c>
      <c r="F27" s="8">
        <v>16</v>
      </c>
      <c r="G27" s="8" t="s">
        <v>53</v>
      </c>
      <c r="H27" s="8" t="s">
        <v>55</v>
      </c>
      <c r="I27" s="8" t="s">
        <v>55</v>
      </c>
      <c r="J27" s="8" t="s">
        <v>53</v>
      </c>
      <c r="K27" s="8" t="s">
        <v>55</v>
      </c>
      <c r="L27" s="8" t="s">
        <v>55</v>
      </c>
      <c r="M27" s="8" t="s">
        <v>55</v>
      </c>
      <c r="N27" s="8" t="s">
        <v>55</v>
      </c>
      <c r="O27" s="8" t="s">
        <v>53</v>
      </c>
      <c r="P27" s="8" t="s">
        <v>55</v>
      </c>
      <c r="Q27" s="8" t="s">
        <v>53</v>
      </c>
      <c r="R27" s="8" t="s">
        <v>55</v>
      </c>
      <c r="S27" s="8" t="s">
        <v>55</v>
      </c>
      <c r="T27" s="8" t="s">
        <v>54</v>
      </c>
      <c r="U27" s="8" t="s">
        <v>54</v>
      </c>
      <c r="V27" s="8" t="s">
        <v>54</v>
      </c>
      <c r="W27" s="8" t="s">
        <v>53</v>
      </c>
      <c r="X27" s="8" t="s">
        <v>55</v>
      </c>
      <c r="Y27" s="8" t="s">
        <v>55</v>
      </c>
      <c r="Z27" s="8" t="s">
        <v>53</v>
      </c>
      <c r="AA27" s="8" t="s">
        <v>53</v>
      </c>
      <c r="AB27" s="8" t="s">
        <v>55</v>
      </c>
      <c r="AC27" s="8" t="s">
        <v>55</v>
      </c>
      <c r="AD27" s="8" t="s">
        <v>54</v>
      </c>
      <c r="AE27" s="8" t="s">
        <v>53</v>
      </c>
      <c r="AF27" s="8" t="s">
        <v>63</v>
      </c>
      <c r="AG27" s="8" t="s">
        <v>63</v>
      </c>
      <c r="AH27" s="8" t="s">
        <v>63</v>
      </c>
      <c r="AI27" s="8" t="s">
        <v>63</v>
      </c>
      <c r="AJ27" s="8" t="s">
        <v>63</v>
      </c>
      <c r="AK27" s="8" t="s">
        <v>63</v>
      </c>
      <c r="AL27" s="8" t="s">
        <v>63</v>
      </c>
      <c r="AM27" s="8" t="s">
        <v>63</v>
      </c>
      <c r="AN27" s="8" t="s">
        <v>63</v>
      </c>
      <c r="AO27" s="8" t="s">
        <v>58</v>
      </c>
      <c r="AP27" s="8" t="s">
        <v>57</v>
      </c>
      <c r="AQ27" s="8" t="s">
        <v>58</v>
      </c>
      <c r="AR27" s="8" t="s">
        <v>63</v>
      </c>
      <c r="AS27" s="8" t="s">
        <v>63</v>
      </c>
      <c r="AT27" s="8" t="s">
        <v>58</v>
      </c>
      <c r="AU27" s="8" t="s">
        <v>58</v>
      </c>
      <c r="AV27" s="8" t="s">
        <v>63</v>
      </c>
      <c r="AW27" s="8" t="s">
        <v>58</v>
      </c>
    </row>
    <row r="28" spans="1:49" ht="16.05" customHeight="1" x14ac:dyDescent="0.3">
      <c r="A28" s="8" t="s">
        <v>137</v>
      </c>
      <c r="B28" s="8" t="s">
        <v>138</v>
      </c>
      <c r="C28" s="9">
        <v>46136.095439814817</v>
      </c>
      <c r="D28" s="10" t="s">
        <v>139</v>
      </c>
      <c r="E28" s="8" t="s">
        <v>52</v>
      </c>
      <c r="F28" s="8">
        <v>16</v>
      </c>
      <c r="G28" s="8" t="s">
        <v>53</v>
      </c>
      <c r="H28" s="8" t="s">
        <v>54</v>
      </c>
      <c r="I28" s="8" t="s">
        <v>55</v>
      </c>
      <c r="J28" s="8" t="s">
        <v>53</v>
      </c>
      <c r="K28" s="8" t="s">
        <v>55</v>
      </c>
      <c r="L28" s="8" t="s">
        <v>55</v>
      </c>
      <c r="M28" s="8" t="s">
        <v>54</v>
      </c>
      <c r="N28" s="8" t="s">
        <v>54</v>
      </c>
      <c r="O28" s="8" t="s">
        <v>53</v>
      </c>
      <c r="P28" s="8" t="s">
        <v>54</v>
      </c>
      <c r="Q28" s="8" t="s">
        <v>53</v>
      </c>
      <c r="R28" s="8" t="s">
        <v>55</v>
      </c>
      <c r="S28" s="8" t="s">
        <v>55</v>
      </c>
      <c r="T28" s="8" t="s">
        <v>53</v>
      </c>
      <c r="U28" s="8" t="s">
        <v>55</v>
      </c>
      <c r="V28" s="8" t="s">
        <v>54</v>
      </c>
      <c r="W28" s="8" t="s">
        <v>53</v>
      </c>
      <c r="X28" s="8" t="s">
        <v>55</v>
      </c>
      <c r="Y28" s="8" t="s">
        <v>55</v>
      </c>
      <c r="Z28" s="8" t="s">
        <v>53</v>
      </c>
      <c r="AA28" s="8" t="s">
        <v>53</v>
      </c>
      <c r="AB28" s="8" t="s">
        <v>55</v>
      </c>
      <c r="AC28" s="8" t="s">
        <v>55</v>
      </c>
      <c r="AD28" s="8" t="s">
        <v>54</v>
      </c>
      <c r="AE28" s="8" t="s">
        <v>53</v>
      </c>
      <c r="AF28" s="8" t="s">
        <v>57</v>
      </c>
      <c r="AG28" s="8" t="s">
        <v>57</v>
      </c>
      <c r="AH28" s="8" t="s">
        <v>57</v>
      </c>
      <c r="AI28" s="8" t="s">
        <v>57</v>
      </c>
      <c r="AJ28" s="8" t="s">
        <v>57</v>
      </c>
      <c r="AK28" s="8" t="s">
        <v>63</v>
      </c>
      <c r="AL28" s="8" t="s">
        <v>58</v>
      </c>
      <c r="AM28" s="8" t="s">
        <v>57</v>
      </c>
      <c r="AN28" s="8" t="s">
        <v>58</v>
      </c>
      <c r="AO28" s="8" t="s">
        <v>57</v>
      </c>
      <c r="AP28" s="8" t="s">
        <v>63</v>
      </c>
      <c r="AQ28" s="8" t="s">
        <v>63</v>
      </c>
      <c r="AR28" s="8" t="s">
        <v>58</v>
      </c>
      <c r="AS28" s="8" t="s">
        <v>63</v>
      </c>
      <c r="AT28" s="8" t="s">
        <v>58</v>
      </c>
      <c r="AU28" s="8" t="s">
        <v>63</v>
      </c>
      <c r="AV28" s="8" t="s">
        <v>63</v>
      </c>
      <c r="AW28" s="8" t="s">
        <v>63</v>
      </c>
    </row>
    <row r="29" spans="1:49" ht="16.05" customHeight="1" x14ac:dyDescent="0.3">
      <c r="A29" s="8" t="s">
        <v>140</v>
      </c>
      <c r="B29" s="8" t="s">
        <v>141</v>
      </c>
      <c r="C29" s="9">
        <v>46136.095590277779</v>
      </c>
      <c r="D29" s="10" t="s">
        <v>142</v>
      </c>
      <c r="E29" s="8" t="s">
        <v>52</v>
      </c>
      <c r="F29" s="8">
        <v>17</v>
      </c>
      <c r="G29" s="8" t="s">
        <v>53</v>
      </c>
      <c r="H29" s="8" t="s">
        <v>53</v>
      </c>
      <c r="I29" s="8" t="s">
        <v>55</v>
      </c>
      <c r="J29" s="8" t="s">
        <v>53</v>
      </c>
      <c r="K29" s="8" t="s">
        <v>55</v>
      </c>
      <c r="L29" s="8" t="s">
        <v>55</v>
      </c>
      <c r="M29" s="8" t="s">
        <v>54</v>
      </c>
      <c r="N29" s="8" t="s">
        <v>55</v>
      </c>
      <c r="O29" s="8" t="s">
        <v>53</v>
      </c>
      <c r="P29" s="8" t="s">
        <v>54</v>
      </c>
      <c r="Q29" s="8" t="s">
        <v>53</v>
      </c>
      <c r="R29" s="8" t="s">
        <v>55</v>
      </c>
      <c r="S29" s="8" t="s">
        <v>55</v>
      </c>
      <c r="T29" s="8" t="s">
        <v>53</v>
      </c>
      <c r="U29" s="8" t="s">
        <v>54</v>
      </c>
      <c r="V29" s="8" t="s">
        <v>55</v>
      </c>
      <c r="W29" s="8" t="s">
        <v>53</v>
      </c>
      <c r="X29" s="8" t="s">
        <v>54</v>
      </c>
      <c r="Y29" s="8" t="s">
        <v>55</v>
      </c>
      <c r="Z29" s="8" t="s">
        <v>53</v>
      </c>
      <c r="AA29" s="8" t="s">
        <v>53</v>
      </c>
      <c r="AB29" s="8" t="s">
        <v>55</v>
      </c>
      <c r="AC29" s="8" t="s">
        <v>53</v>
      </c>
      <c r="AD29" s="8" t="s">
        <v>55</v>
      </c>
      <c r="AE29" s="8" t="s">
        <v>53</v>
      </c>
      <c r="AF29" s="8" t="s">
        <v>57</v>
      </c>
      <c r="AG29" s="8" t="s">
        <v>58</v>
      </c>
      <c r="AH29" s="8" t="s">
        <v>57</v>
      </c>
      <c r="AI29" s="8" t="s">
        <v>63</v>
      </c>
      <c r="AJ29" s="8" t="s">
        <v>58</v>
      </c>
      <c r="AK29" s="8" t="s">
        <v>63</v>
      </c>
      <c r="AL29" s="8" t="s">
        <v>58</v>
      </c>
      <c r="AM29" s="8" t="s">
        <v>63</v>
      </c>
      <c r="AN29" s="8" t="s">
        <v>63</v>
      </c>
      <c r="AO29" s="8" t="s">
        <v>63</v>
      </c>
      <c r="AP29" s="8" t="s">
        <v>63</v>
      </c>
      <c r="AQ29" s="8" t="s">
        <v>57</v>
      </c>
      <c r="AR29" s="8" t="s">
        <v>57</v>
      </c>
      <c r="AS29" s="8" t="s">
        <v>57</v>
      </c>
      <c r="AT29" s="8" t="s">
        <v>57</v>
      </c>
      <c r="AU29" s="8" t="s">
        <v>58</v>
      </c>
      <c r="AV29" s="8" t="s">
        <v>56</v>
      </c>
      <c r="AW29" s="8" t="s">
        <v>58</v>
      </c>
    </row>
    <row r="30" spans="1:49" ht="16.05" customHeight="1" x14ac:dyDescent="0.3">
      <c r="A30" s="8" t="s">
        <v>143</v>
      </c>
      <c r="B30" s="8" t="s">
        <v>144</v>
      </c>
      <c r="C30" s="9">
        <v>46136.095752314817</v>
      </c>
      <c r="D30" s="10" t="s">
        <v>145</v>
      </c>
      <c r="E30" s="8" t="s">
        <v>52</v>
      </c>
      <c r="F30" s="8">
        <v>17</v>
      </c>
      <c r="G30" s="8" t="s">
        <v>53</v>
      </c>
      <c r="H30" s="8" t="s">
        <v>54</v>
      </c>
      <c r="I30" s="8" t="s">
        <v>55</v>
      </c>
      <c r="J30" s="8" t="s">
        <v>53</v>
      </c>
      <c r="K30" s="8" t="s">
        <v>55</v>
      </c>
      <c r="L30" s="8" t="s">
        <v>54</v>
      </c>
      <c r="M30" s="8" t="s">
        <v>54</v>
      </c>
      <c r="N30" s="8" t="s">
        <v>54</v>
      </c>
      <c r="O30" s="8" t="s">
        <v>53</v>
      </c>
      <c r="P30" s="8" t="s">
        <v>53</v>
      </c>
      <c r="Q30" s="8" t="s">
        <v>53</v>
      </c>
      <c r="R30" s="8" t="s">
        <v>55</v>
      </c>
      <c r="S30" s="8" t="s">
        <v>55</v>
      </c>
      <c r="T30" s="8" t="s">
        <v>53</v>
      </c>
      <c r="U30" s="8" t="s">
        <v>53</v>
      </c>
      <c r="V30" s="8" t="s">
        <v>53</v>
      </c>
      <c r="W30" s="8" t="s">
        <v>53</v>
      </c>
      <c r="X30" s="8" t="s">
        <v>55</v>
      </c>
      <c r="Y30" s="8" t="s">
        <v>55</v>
      </c>
      <c r="Z30" s="8" t="s">
        <v>53</v>
      </c>
      <c r="AA30" s="8" t="s">
        <v>54</v>
      </c>
      <c r="AB30" s="8" t="s">
        <v>55</v>
      </c>
      <c r="AC30" s="8" t="s">
        <v>55</v>
      </c>
      <c r="AD30" s="8" t="s">
        <v>55</v>
      </c>
      <c r="AE30" s="8" t="s">
        <v>54</v>
      </c>
      <c r="AF30" s="8" t="s">
        <v>56</v>
      </c>
      <c r="AG30" s="8" t="s">
        <v>57</v>
      </c>
      <c r="AH30" s="8" t="s">
        <v>59</v>
      </c>
      <c r="AI30" s="8" t="s">
        <v>58</v>
      </c>
      <c r="AJ30" s="8" t="s">
        <v>63</v>
      </c>
      <c r="AK30" s="8" t="s">
        <v>56</v>
      </c>
      <c r="AL30" s="8" t="s">
        <v>56</v>
      </c>
      <c r="AM30" s="8" t="s">
        <v>59</v>
      </c>
      <c r="AN30" s="8" t="s">
        <v>63</v>
      </c>
      <c r="AO30" s="8" t="s">
        <v>58</v>
      </c>
      <c r="AP30" s="8" t="s">
        <v>63</v>
      </c>
      <c r="AQ30" s="8" t="s">
        <v>57</v>
      </c>
      <c r="AR30" s="8" t="s">
        <v>56</v>
      </c>
      <c r="AS30" s="8" t="s">
        <v>58</v>
      </c>
      <c r="AT30" s="8" t="s">
        <v>56</v>
      </c>
      <c r="AU30" s="8" t="s">
        <v>58</v>
      </c>
      <c r="AV30" s="8" t="s">
        <v>57</v>
      </c>
      <c r="AW30" s="8" t="s">
        <v>63</v>
      </c>
    </row>
    <row r="31" spans="1:49" ht="16.05" customHeight="1" x14ac:dyDescent="0.3">
      <c r="A31" s="8" t="s">
        <v>146</v>
      </c>
      <c r="B31" s="8" t="s">
        <v>147</v>
      </c>
      <c r="C31" s="9">
        <v>46136.096041666657</v>
      </c>
      <c r="D31" s="10" t="s">
        <v>148</v>
      </c>
      <c r="E31" s="8" t="s">
        <v>52</v>
      </c>
      <c r="F31" s="8">
        <v>17</v>
      </c>
      <c r="G31" s="8" t="s">
        <v>53</v>
      </c>
      <c r="H31" s="8" t="s">
        <v>54</v>
      </c>
      <c r="I31" s="8" t="s">
        <v>55</v>
      </c>
      <c r="J31" s="8" t="s">
        <v>53</v>
      </c>
      <c r="K31" s="8" t="s">
        <v>54</v>
      </c>
      <c r="L31" s="8" t="s">
        <v>54</v>
      </c>
      <c r="M31" s="8" t="s">
        <v>53</v>
      </c>
      <c r="N31" s="8" t="s">
        <v>54</v>
      </c>
      <c r="O31" s="8" t="s">
        <v>53</v>
      </c>
      <c r="P31" s="8" t="s">
        <v>55</v>
      </c>
      <c r="Q31" s="8" t="s">
        <v>53</v>
      </c>
      <c r="R31" s="8" t="s">
        <v>54</v>
      </c>
      <c r="S31" s="8" t="s">
        <v>54</v>
      </c>
      <c r="T31" s="8" t="s">
        <v>53</v>
      </c>
      <c r="U31" s="8" t="s">
        <v>54</v>
      </c>
      <c r="V31" s="8" t="s">
        <v>54</v>
      </c>
      <c r="W31" s="8" t="s">
        <v>53</v>
      </c>
      <c r="X31" s="8" t="s">
        <v>55</v>
      </c>
      <c r="Y31" s="8" t="s">
        <v>55</v>
      </c>
      <c r="Z31" s="8" t="s">
        <v>53</v>
      </c>
      <c r="AA31" s="8" t="s">
        <v>53</v>
      </c>
      <c r="AB31" s="8" t="s">
        <v>55</v>
      </c>
      <c r="AC31" s="8" t="s">
        <v>53</v>
      </c>
      <c r="AD31" s="8" t="s">
        <v>54</v>
      </c>
      <c r="AE31" s="8" t="s">
        <v>54</v>
      </c>
      <c r="AF31" s="8" t="s">
        <v>56</v>
      </c>
      <c r="AG31" s="8" t="s">
        <v>57</v>
      </c>
      <c r="AH31" s="8" t="s">
        <v>57</v>
      </c>
      <c r="AI31" s="8" t="s">
        <v>57</v>
      </c>
      <c r="AJ31" s="8" t="s">
        <v>59</v>
      </c>
      <c r="AK31" s="8" t="s">
        <v>56</v>
      </c>
      <c r="AL31" s="8" t="s">
        <v>57</v>
      </c>
      <c r="AM31" s="8" t="s">
        <v>63</v>
      </c>
      <c r="AN31" s="8" t="s">
        <v>56</v>
      </c>
      <c r="AO31" s="8" t="s">
        <v>59</v>
      </c>
      <c r="AP31" s="8" t="s">
        <v>56</v>
      </c>
      <c r="AQ31" s="8" t="s">
        <v>63</v>
      </c>
      <c r="AR31" s="8" t="s">
        <v>56</v>
      </c>
      <c r="AS31" s="8" t="s">
        <v>57</v>
      </c>
      <c r="AT31" s="8" t="s">
        <v>56</v>
      </c>
      <c r="AU31" s="8" t="s">
        <v>58</v>
      </c>
      <c r="AV31" s="8" t="s">
        <v>58</v>
      </c>
      <c r="AW31" s="8" t="s">
        <v>57</v>
      </c>
    </row>
    <row r="32" spans="1:49" ht="16.05" customHeight="1" x14ac:dyDescent="0.3">
      <c r="A32" s="8" t="s">
        <v>149</v>
      </c>
      <c r="B32" s="8" t="s">
        <v>150</v>
      </c>
      <c r="C32" s="9">
        <v>46136.096122685187</v>
      </c>
      <c r="D32" s="10" t="s">
        <v>151</v>
      </c>
      <c r="E32" s="9" t="s">
        <v>52</v>
      </c>
      <c r="F32" s="8">
        <v>17</v>
      </c>
      <c r="G32" s="8" t="s">
        <v>53</v>
      </c>
      <c r="H32" s="8" t="s">
        <v>53</v>
      </c>
      <c r="I32" s="8" t="s">
        <v>55</v>
      </c>
      <c r="J32" s="8" t="s">
        <v>53</v>
      </c>
      <c r="K32" s="8" t="s">
        <v>55</v>
      </c>
      <c r="L32" s="8" t="s">
        <v>54</v>
      </c>
      <c r="M32" s="8" t="s">
        <v>55</v>
      </c>
      <c r="N32" s="8" t="s">
        <v>53</v>
      </c>
      <c r="O32" s="8" t="s">
        <v>53</v>
      </c>
      <c r="P32" s="8" t="s">
        <v>53</v>
      </c>
      <c r="Q32" s="8" t="s">
        <v>53</v>
      </c>
      <c r="R32" s="8" t="s">
        <v>55</v>
      </c>
      <c r="S32" s="8" t="s">
        <v>55</v>
      </c>
      <c r="T32" s="8" t="s">
        <v>53</v>
      </c>
      <c r="U32" s="8" t="s">
        <v>54</v>
      </c>
      <c r="V32" s="8" t="s">
        <v>54</v>
      </c>
      <c r="W32" s="8" t="s">
        <v>54</v>
      </c>
      <c r="X32" s="8" t="s">
        <v>55</v>
      </c>
      <c r="Y32" s="8" t="s">
        <v>55</v>
      </c>
      <c r="Z32" s="8" t="s">
        <v>53</v>
      </c>
      <c r="AA32" s="8" t="s">
        <v>53</v>
      </c>
      <c r="AB32" s="8" t="s">
        <v>55</v>
      </c>
      <c r="AC32" s="8" t="s">
        <v>55</v>
      </c>
      <c r="AD32" s="8" t="s">
        <v>54</v>
      </c>
      <c r="AE32" s="8" t="s">
        <v>54</v>
      </c>
      <c r="AF32" s="8" t="s">
        <v>58</v>
      </c>
      <c r="AG32" s="8" t="s">
        <v>57</v>
      </c>
      <c r="AH32" s="8" t="s">
        <v>58</v>
      </c>
      <c r="AI32" s="8" t="s">
        <v>63</v>
      </c>
      <c r="AJ32" s="8" t="s">
        <v>59</v>
      </c>
      <c r="AK32" s="8" t="s">
        <v>63</v>
      </c>
      <c r="AL32" s="8" t="s">
        <v>58</v>
      </c>
      <c r="AM32" s="8" t="s">
        <v>58</v>
      </c>
      <c r="AN32" s="8" t="s">
        <v>58</v>
      </c>
      <c r="AO32" s="8" t="s">
        <v>63</v>
      </c>
      <c r="AP32" s="8" t="s">
        <v>63</v>
      </c>
      <c r="AQ32" s="8" t="s">
        <v>63</v>
      </c>
      <c r="AR32" s="8" t="s">
        <v>57</v>
      </c>
      <c r="AS32" s="8" t="s">
        <v>63</v>
      </c>
      <c r="AT32" s="8" t="s">
        <v>57</v>
      </c>
      <c r="AU32" s="8" t="s">
        <v>63</v>
      </c>
      <c r="AV32" s="8" t="s">
        <v>57</v>
      </c>
      <c r="AW32" s="8" t="s">
        <v>58</v>
      </c>
    </row>
    <row r="33" spans="1:49" ht="16.05" customHeight="1" x14ac:dyDescent="0.3">
      <c r="A33" s="8" t="s">
        <v>152</v>
      </c>
      <c r="B33" s="8" t="s">
        <v>153</v>
      </c>
      <c r="C33" s="9">
        <v>46136.096273148149</v>
      </c>
      <c r="D33" s="10" t="s">
        <v>154</v>
      </c>
      <c r="E33" s="8" t="s">
        <v>52</v>
      </c>
      <c r="F33" s="8">
        <v>17</v>
      </c>
      <c r="G33" s="8" t="s">
        <v>54</v>
      </c>
      <c r="H33" s="8" t="s">
        <v>54</v>
      </c>
      <c r="I33" s="8" t="s">
        <v>53</v>
      </c>
      <c r="J33" s="8" t="s">
        <v>54</v>
      </c>
      <c r="K33" s="8" t="s">
        <v>54</v>
      </c>
      <c r="L33" s="8" t="s">
        <v>54</v>
      </c>
      <c r="M33" s="8" t="s">
        <v>55</v>
      </c>
      <c r="N33" s="8" t="s">
        <v>54</v>
      </c>
      <c r="O33" s="8" t="s">
        <v>54</v>
      </c>
      <c r="P33" s="8" t="s">
        <v>53</v>
      </c>
      <c r="Q33" s="8" t="s">
        <v>53</v>
      </c>
      <c r="R33" s="8" t="s">
        <v>54</v>
      </c>
      <c r="S33" s="8" t="s">
        <v>53</v>
      </c>
      <c r="T33" s="8" t="s">
        <v>54</v>
      </c>
      <c r="U33" s="8" t="s">
        <v>54</v>
      </c>
      <c r="V33" s="8" t="s">
        <v>54</v>
      </c>
      <c r="W33" s="8" t="s">
        <v>54</v>
      </c>
      <c r="X33" s="8" t="s">
        <v>55</v>
      </c>
      <c r="Y33" s="8" t="s">
        <v>55</v>
      </c>
      <c r="Z33" s="8" t="s">
        <v>53</v>
      </c>
      <c r="AA33" s="8" t="s">
        <v>54</v>
      </c>
      <c r="AB33" s="8" t="s">
        <v>55</v>
      </c>
      <c r="AC33" s="8" t="s">
        <v>55</v>
      </c>
      <c r="AD33" s="8" t="s">
        <v>54</v>
      </c>
      <c r="AE33" s="8" t="s">
        <v>53</v>
      </c>
      <c r="AF33" s="8" t="s">
        <v>57</v>
      </c>
      <c r="AG33" s="8" t="s">
        <v>56</v>
      </c>
      <c r="AH33" s="8" t="s">
        <v>57</v>
      </c>
      <c r="AI33" s="8" t="s">
        <v>58</v>
      </c>
      <c r="AJ33" s="8" t="s">
        <v>58</v>
      </c>
      <c r="AK33" s="8" t="s">
        <v>58</v>
      </c>
      <c r="AL33" s="8" t="s">
        <v>57</v>
      </c>
      <c r="AM33" s="8" t="s">
        <v>56</v>
      </c>
      <c r="AN33" s="8" t="s">
        <v>56</v>
      </c>
      <c r="AO33" s="8" t="s">
        <v>59</v>
      </c>
      <c r="AP33" s="8" t="s">
        <v>56</v>
      </c>
      <c r="AQ33" s="8" t="s">
        <v>56</v>
      </c>
      <c r="AR33" s="8" t="s">
        <v>56</v>
      </c>
      <c r="AS33" s="8" t="s">
        <v>56</v>
      </c>
      <c r="AT33" s="8" t="s">
        <v>57</v>
      </c>
      <c r="AU33" s="8" t="s">
        <v>57</v>
      </c>
      <c r="AV33" s="8" t="s">
        <v>57</v>
      </c>
      <c r="AW33" s="8" t="s">
        <v>57</v>
      </c>
    </row>
    <row r="34" spans="1:49" ht="16.05" customHeight="1" x14ac:dyDescent="0.3">
      <c r="A34" s="8" t="s">
        <v>155</v>
      </c>
      <c r="B34" s="8" t="s">
        <v>156</v>
      </c>
      <c r="C34" s="9">
        <v>46136.096458333333</v>
      </c>
      <c r="D34" s="10" t="s">
        <v>157</v>
      </c>
      <c r="E34" s="9" t="s">
        <v>121</v>
      </c>
      <c r="F34" s="8">
        <v>17</v>
      </c>
      <c r="G34" s="8" t="s">
        <v>53</v>
      </c>
      <c r="H34" s="8" t="s">
        <v>54</v>
      </c>
      <c r="I34" s="8" t="s">
        <v>54</v>
      </c>
      <c r="J34" s="8" t="s">
        <v>53</v>
      </c>
      <c r="K34" s="8" t="s">
        <v>55</v>
      </c>
      <c r="L34" s="8" t="s">
        <v>53</v>
      </c>
      <c r="M34" s="8" t="s">
        <v>55</v>
      </c>
      <c r="N34" s="8" t="s">
        <v>55</v>
      </c>
      <c r="O34" s="8" t="s">
        <v>53</v>
      </c>
      <c r="P34" s="8" t="s">
        <v>54</v>
      </c>
      <c r="Q34" s="8" t="s">
        <v>53</v>
      </c>
      <c r="R34" s="8" t="s">
        <v>55</v>
      </c>
      <c r="S34" s="8" t="s">
        <v>54</v>
      </c>
      <c r="T34" s="8" t="s">
        <v>54</v>
      </c>
      <c r="U34" s="8" t="s">
        <v>55</v>
      </c>
      <c r="V34" s="8" t="s">
        <v>55</v>
      </c>
      <c r="W34" s="8" t="s">
        <v>53</v>
      </c>
      <c r="X34" s="8" t="s">
        <v>55</v>
      </c>
      <c r="Y34" s="8" t="s">
        <v>55</v>
      </c>
      <c r="Z34" s="8" t="s">
        <v>54</v>
      </c>
      <c r="AA34" s="8" t="s">
        <v>53</v>
      </c>
      <c r="AB34" s="8" t="s">
        <v>55</v>
      </c>
      <c r="AC34" s="8" t="s">
        <v>53</v>
      </c>
      <c r="AD34" s="8" t="s">
        <v>55</v>
      </c>
      <c r="AE34" s="8" t="s">
        <v>53</v>
      </c>
      <c r="AF34" s="8" t="s">
        <v>58</v>
      </c>
      <c r="AG34" s="8" t="s">
        <v>57</v>
      </c>
      <c r="AH34" s="8" t="s">
        <v>58</v>
      </c>
      <c r="AI34" s="8" t="s">
        <v>63</v>
      </c>
      <c r="AJ34" s="8" t="s">
        <v>58</v>
      </c>
      <c r="AK34" s="8" t="s">
        <v>63</v>
      </c>
      <c r="AL34" s="8" t="s">
        <v>63</v>
      </c>
      <c r="AM34" s="8" t="s">
        <v>63</v>
      </c>
      <c r="AN34" s="8" t="s">
        <v>57</v>
      </c>
      <c r="AO34" s="8" t="s">
        <v>63</v>
      </c>
      <c r="AP34" s="8" t="s">
        <v>57</v>
      </c>
      <c r="AQ34" s="8" t="s">
        <v>63</v>
      </c>
      <c r="AR34" s="8" t="s">
        <v>58</v>
      </c>
      <c r="AS34" s="8" t="s">
        <v>58</v>
      </c>
      <c r="AT34" s="8" t="s">
        <v>63</v>
      </c>
      <c r="AU34" s="8" t="s">
        <v>57</v>
      </c>
      <c r="AV34" s="8" t="s">
        <v>57</v>
      </c>
      <c r="AW34" s="8" t="s">
        <v>63</v>
      </c>
    </row>
    <row r="35" spans="1:49" ht="16.05" customHeight="1" x14ac:dyDescent="0.3">
      <c r="A35" s="8" t="s">
        <v>158</v>
      </c>
      <c r="B35" s="8" t="s">
        <v>159</v>
      </c>
      <c r="C35" s="9">
        <v>46136.097129629627</v>
      </c>
      <c r="D35" s="10" t="s">
        <v>160</v>
      </c>
      <c r="E35" s="8" t="s">
        <v>121</v>
      </c>
      <c r="F35" s="8">
        <v>17</v>
      </c>
      <c r="G35" s="8" t="s">
        <v>53</v>
      </c>
      <c r="H35" s="8" t="s">
        <v>55</v>
      </c>
      <c r="I35" s="8" t="s">
        <v>54</v>
      </c>
      <c r="J35" s="8" t="s">
        <v>53</v>
      </c>
      <c r="K35" s="8" t="s">
        <v>54</v>
      </c>
      <c r="L35" s="8" t="s">
        <v>53</v>
      </c>
      <c r="M35" s="8" t="s">
        <v>54</v>
      </c>
      <c r="N35" s="8" t="s">
        <v>53</v>
      </c>
      <c r="O35" s="8" t="s">
        <v>53</v>
      </c>
      <c r="P35" s="8" t="s">
        <v>54</v>
      </c>
      <c r="Q35" s="8" t="s">
        <v>53</v>
      </c>
      <c r="R35" s="8" t="s">
        <v>55</v>
      </c>
      <c r="S35" s="8" t="s">
        <v>54</v>
      </c>
      <c r="T35" s="8" t="s">
        <v>54</v>
      </c>
      <c r="U35" s="8" t="s">
        <v>54</v>
      </c>
      <c r="V35" s="8" t="s">
        <v>54</v>
      </c>
      <c r="W35" s="8" t="s">
        <v>53</v>
      </c>
      <c r="X35" s="8" t="s">
        <v>54</v>
      </c>
      <c r="Y35" s="8" t="s">
        <v>55</v>
      </c>
      <c r="Z35" s="8" t="s">
        <v>53</v>
      </c>
      <c r="AA35" s="8" t="s">
        <v>53</v>
      </c>
      <c r="AB35" s="8" t="s">
        <v>55</v>
      </c>
      <c r="AC35" s="8" t="s">
        <v>55</v>
      </c>
      <c r="AD35" s="8" t="s">
        <v>54</v>
      </c>
      <c r="AE35" s="8" t="s">
        <v>53</v>
      </c>
      <c r="AF35" s="8" t="s">
        <v>58</v>
      </c>
      <c r="AG35" s="8" t="s">
        <v>56</v>
      </c>
      <c r="AH35" s="8" t="s">
        <v>58</v>
      </c>
      <c r="AI35" s="8" t="s">
        <v>63</v>
      </c>
      <c r="AJ35" s="8" t="s">
        <v>56</v>
      </c>
      <c r="AK35" s="8" t="s">
        <v>63</v>
      </c>
      <c r="AL35" s="8" t="s">
        <v>58</v>
      </c>
      <c r="AM35" s="8" t="s">
        <v>57</v>
      </c>
      <c r="AN35" s="8" t="s">
        <v>57</v>
      </c>
      <c r="AO35" s="8" t="s">
        <v>57</v>
      </c>
      <c r="AP35" s="8" t="s">
        <v>58</v>
      </c>
      <c r="AQ35" s="8" t="s">
        <v>57</v>
      </c>
      <c r="AR35" s="8" t="s">
        <v>63</v>
      </c>
      <c r="AS35" s="8" t="s">
        <v>58</v>
      </c>
      <c r="AT35" s="8" t="s">
        <v>57</v>
      </c>
      <c r="AU35" s="8" t="s">
        <v>57</v>
      </c>
      <c r="AV35" s="8" t="s">
        <v>63</v>
      </c>
      <c r="AW35" s="8" t="s">
        <v>58</v>
      </c>
    </row>
    <row r="36" spans="1:49" ht="16.05" customHeight="1" x14ac:dyDescent="0.3">
      <c r="A36" s="8" t="s">
        <v>161</v>
      </c>
      <c r="B36" s="8" t="s">
        <v>162</v>
      </c>
      <c r="C36" s="9">
        <v>46136.097141203703</v>
      </c>
      <c r="D36" s="10" t="s">
        <v>163</v>
      </c>
      <c r="E36" s="8" t="s">
        <v>52</v>
      </c>
      <c r="F36" s="8">
        <v>16</v>
      </c>
      <c r="G36" s="8" t="s">
        <v>53</v>
      </c>
      <c r="H36" s="8" t="s">
        <v>54</v>
      </c>
      <c r="I36" s="8" t="s">
        <v>55</v>
      </c>
      <c r="J36" s="8" t="s">
        <v>55</v>
      </c>
      <c r="K36" s="8" t="s">
        <v>55</v>
      </c>
      <c r="L36" s="8" t="s">
        <v>55</v>
      </c>
      <c r="M36" s="8" t="s">
        <v>54</v>
      </c>
      <c r="N36" s="8" t="s">
        <v>54</v>
      </c>
      <c r="O36" s="8" t="s">
        <v>53</v>
      </c>
      <c r="P36" s="8" t="s">
        <v>53</v>
      </c>
      <c r="Q36" s="8" t="s">
        <v>53</v>
      </c>
      <c r="R36" s="8" t="s">
        <v>55</v>
      </c>
      <c r="S36" s="8" t="s">
        <v>55</v>
      </c>
      <c r="T36" s="8" t="s">
        <v>53</v>
      </c>
      <c r="U36" s="8" t="s">
        <v>53</v>
      </c>
      <c r="V36" s="8" t="s">
        <v>53</v>
      </c>
      <c r="W36" s="8" t="s">
        <v>53</v>
      </c>
      <c r="X36" s="8" t="s">
        <v>54</v>
      </c>
      <c r="Y36" s="8" t="s">
        <v>55</v>
      </c>
      <c r="Z36" s="8" t="s">
        <v>53</v>
      </c>
      <c r="AA36" s="8" t="s">
        <v>54</v>
      </c>
      <c r="AB36" s="8" t="s">
        <v>55</v>
      </c>
      <c r="AC36" s="8" t="s">
        <v>55</v>
      </c>
      <c r="AD36" s="8" t="s">
        <v>54</v>
      </c>
      <c r="AE36" s="8" t="s">
        <v>55</v>
      </c>
      <c r="AF36" s="8" t="s">
        <v>56</v>
      </c>
      <c r="AG36" s="8" t="s">
        <v>57</v>
      </c>
      <c r="AH36" s="8" t="s">
        <v>56</v>
      </c>
      <c r="AI36" s="8" t="s">
        <v>58</v>
      </c>
      <c r="AJ36" s="8" t="s">
        <v>56</v>
      </c>
      <c r="AK36" s="8" t="s">
        <v>58</v>
      </c>
      <c r="AL36" s="8" t="s">
        <v>56</v>
      </c>
      <c r="AM36" s="8" t="s">
        <v>63</v>
      </c>
      <c r="AN36" s="8" t="s">
        <v>58</v>
      </c>
      <c r="AO36" s="8" t="s">
        <v>59</v>
      </c>
      <c r="AP36" s="8" t="s">
        <v>56</v>
      </c>
      <c r="AQ36" s="8" t="s">
        <v>56</v>
      </c>
      <c r="AR36" s="8" t="s">
        <v>56</v>
      </c>
      <c r="AS36" s="8" t="s">
        <v>57</v>
      </c>
      <c r="AT36" s="8" t="s">
        <v>57</v>
      </c>
      <c r="AU36" s="8" t="s">
        <v>58</v>
      </c>
      <c r="AV36" s="8" t="s">
        <v>57</v>
      </c>
      <c r="AW36" s="8" t="s">
        <v>57</v>
      </c>
    </row>
    <row r="37" spans="1:49" ht="16.05" customHeight="1" x14ac:dyDescent="0.3">
      <c r="A37" s="8" t="s">
        <v>164</v>
      </c>
      <c r="B37" s="8" t="s">
        <v>165</v>
      </c>
      <c r="C37" s="9">
        <v>46136.097303240742</v>
      </c>
      <c r="D37" s="10" t="s">
        <v>166</v>
      </c>
      <c r="E37" s="8" t="s">
        <v>121</v>
      </c>
      <c r="F37" s="8">
        <v>16</v>
      </c>
      <c r="G37" s="8" t="s">
        <v>54</v>
      </c>
      <c r="H37" s="8" t="s">
        <v>54</v>
      </c>
      <c r="I37" s="8" t="s">
        <v>53</v>
      </c>
      <c r="J37" s="8" t="s">
        <v>53</v>
      </c>
      <c r="K37" s="8" t="s">
        <v>54</v>
      </c>
      <c r="L37" s="8" t="s">
        <v>54</v>
      </c>
      <c r="M37" s="8" t="s">
        <v>54</v>
      </c>
      <c r="N37" s="8" t="s">
        <v>53</v>
      </c>
      <c r="O37" s="8" t="s">
        <v>53</v>
      </c>
      <c r="P37" s="8" t="s">
        <v>53</v>
      </c>
      <c r="Q37" s="8" t="s">
        <v>53</v>
      </c>
      <c r="R37" s="8" t="s">
        <v>55</v>
      </c>
      <c r="S37" s="8" t="s">
        <v>54</v>
      </c>
      <c r="T37" s="8" t="s">
        <v>54</v>
      </c>
      <c r="U37" s="8" t="s">
        <v>53</v>
      </c>
      <c r="V37" s="8" t="s">
        <v>53</v>
      </c>
      <c r="W37" s="8" t="s">
        <v>53</v>
      </c>
      <c r="X37" s="8" t="s">
        <v>55</v>
      </c>
      <c r="Y37" s="8" t="s">
        <v>54</v>
      </c>
      <c r="Z37" s="8" t="s">
        <v>54</v>
      </c>
      <c r="AA37" s="8" t="s">
        <v>53</v>
      </c>
      <c r="AB37" s="8" t="s">
        <v>55</v>
      </c>
      <c r="AC37" s="8" t="s">
        <v>55</v>
      </c>
      <c r="AD37" s="8" t="s">
        <v>54</v>
      </c>
      <c r="AE37" s="8" t="s">
        <v>54</v>
      </c>
      <c r="AF37" s="8" t="s">
        <v>56</v>
      </c>
      <c r="AG37" s="8" t="s">
        <v>57</v>
      </c>
      <c r="AH37" s="8" t="s">
        <v>57</v>
      </c>
      <c r="AI37" s="8" t="s">
        <v>56</v>
      </c>
      <c r="AJ37" s="8" t="s">
        <v>56</v>
      </c>
      <c r="AK37" s="8" t="s">
        <v>58</v>
      </c>
      <c r="AL37" s="8" t="s">
        <v>57</v>
      </c>
      <c r="AM37" s="8" t="s">
        <v>58</v>
      </c>
      <c r="AN37" s="8" t="s">
        <v>58</v>
      </c>
      <c r="AO37" s="8" t="s">
        <v>58</v>
      </c>
      <c r="AP37" s="8" t="s">
        <v>56</v>
      </c>
      <c r="AQ37" s="8" t="s">
        <v>58</v>
      </c>
      <c r="AR37" s="8" t="s">
        <v>58</v>
      </c>
      <c r="AS37" s="8" t="s">
        <v>58</v>
      </c>
      <c r="AT37" s="8" t="s">
        <v>56</v>
      </c>
      <c r="AU37" s="8" t="s">
        <v>57</v>
      </c>
      <c r="AV37" s="8" t="s">
        <v>58</v>
      </c>
      <c r="AW37" s="8" t="s">
        <v>63</v>
      </c>
    </row>
    <row r="38" spans="1:49" ht="16.05" customHeight="1" x14ac:dyDescent="0.3">
      <c r="A38" s="8" t="s">
        <v>167</v>
      </c>
      <c r="B38" s="8" t="s">
        <v>168</v>
      </c>
      <c r="C38" s="9">
        <v>46136.097314814811</v>
      </c>
      <c r="D38" s="10" t="s">
        <v>169</v>
      </c>
      <c r="E38" s="8" t="s">
        <v>121</v>
      </c>
      <c r="F38" s="8">
        <v>17</v>
      </c>
      <c r="G38" s="8" t="s">
        <v>53</v>
      </c>
      <c r="H38" s="8" t="s">
        <v>55</v>
      </c>
      <c r="I38" s="8" t="s">
        <v>54</v>
      </c>
      <c r="J38" s="8" t="s">
        <v>53</v>
      </c>
      <c r="K38" s="8" t="s">
        <v>54</v>
      </c>
      <c r="L38" s="8" t="s">
        <v>55</v>
      </c>
      <c r="M38" s="8" t="s">
        <v>55</v>
      </c>
      <c r="N38" s="8" t="s">
        <v>54</v>
      </c>
      <c r="O38" s="8" t="s">
        <v>53</v>
      </c>
      <c r="P38" s="8" t="s">
        <v>54</v>
      </c>
      <c r="Q38" s="8" t="s">
        <v>53</v>
      </c>
      <c r="R38" s="8" t="s">
        <v>54</v>
      </c>
      <c r="S38" s="8" t="s">
        <v>54</v>
      </c>
      <c r="T38" s="8" t="s">
        <v>53</v>
      </c>
      <c r="U38" s="8" t="s">
        <v>54</v>
      </c>
      <c r="V38" s="8" t="s">
        <v>55</v>
      </c>
      <c r="W38" s="8" t="s">
        <v>54</v>
      </c>
      <c r="X38" s="8" t="s">
        <v>55</v>
      </c>
      <c r="Y38" s="8" t="s">
        <v>55</v>
      </c>
      <c r="Z38" s="8" t="s">
        <v>54</v>
      </c>
      <c r="AA38" s="8" t="s">
        <v>53</v>
      </c>
      <c r="AB38" s="8" t="s">
        <v>55</v>
      </c>
      <c r="AC38" s="8" t="s">
        <v>55</v>
      </c>
      <c r="AD38" s="8" t="s">
        <v>55</v>
      </c>
      <c r="AE38" s="8" t="s">
        <v>53</v>
      </c>
      <c r="AF38" s="8" t="s">
        <v>56</v>
      </c>
      <c r="AG38" s="8" t="s">
        <v>57</v>
      </c>
      <c r="AH38" s="8" t="s">
        <v>56</v>
      </c>
      <c r="AI38" s="8" t="s">
        <v>58</v>
      </c>
      <c r="AJ38" s="8" t="s">
        <v>58</v>
      </c>
      <c r="AK38" s="8" t="s">
        <v>57</v>
      </c>
      <c r="AL38" s="8" t="s">
        <v>57</v>
      </c>
      <c r="AM38" s="8" t="s">
        <v>59</v>
      </c>
      <c r="AN38" s="8" t="s">
        <v>57</v>
      </c>
      <c r="AO38" s="8" t="s">
        <v>59</v>
      </c>
      <c r="AP38" s="8" t="s">
        <v>58</v>
      </c>
      <c r="AQ38" s="8" t="s">
        <v>57</v>
      </c>
      <c r="AR38" s="8" t="s">
        <v>56</v>
      </c>
      <c r="AS38" s="8" t="s">
        <v>58</v>
      </c>
      <c r="AT38" s="8" t="s">
        <v>56</v>
      </c>
      <c r="AU38" s="8" t="s">
        <v>63</v>
      </c>
      <c r="AV38" s="8" t="s">
        <v>63</v>
      </c>
      <c r="AW38" s="8" t="s">
        <v>58</v>
      </c>
    </row>
    <row r="39" spans="1:49" ht="16.05" customHeight="1" x14ac:dyDescent="0.3">
      <c r="A39" s="8" t="s">
        <v>170</v>
      </c>
      <c r="B39" s="8" t="s">
        <v>171</v>
      </c>
      <c r="C39" s="9">
        <v>46136.097384259258</v>
      </c>
      <c r="D39" s="10" t="s">
        <v>172</v>
      </c>
      <c r="E39" s="8" t="s">
        <v>121</v>
      </c>
      <c r="F39" s="8">
        <v>17</v>
      </c>
      <c r="G39" s="8" t="s">
        <v>53</v>
      </c>
      <c r="H39" s="8" t="s">
        <v>54</v>
      </c>
      <c r="I39" s="8" t="s">
        <v>54</v>
      </c>
      <c r="J39" s="8" t="s">
        <v>53</v>
      </c>
      <c r="K39" s="8" t="s">
        <v>55</v>
      </c>
      <c r="L39" s="8" t="s">
        <v>55</v>
      </c>
      <c r="M39" s="8" t="s">
        <v>53</v>
      </c>
      <c r="N39" s="8" t="s">
        <v>53</v>
      </c>
      <c r="O39" s="8" t="s">
        <v>53</v>
      </c>
      <c r="P39" s="8" t="s">
        <v>55</v>
      </c>
      <c r="Q39" s="8" t="s">
        <v>53</v>
      </c>
      <c r="R39" s="8" t="s">
        <v>55</v>
      </c>
      <c r="S39" s="8" t="s">
        <v>55</v>
      </c>
      <c r="T39" s="8" t="s">
        <v>53</v>
      </c>
      <c r="U39" s="8" t="s">
        <v>54</v>
      </c>
      <c r="V39" s="8" t="s">
        <v>55</v>
      </c>
      <c r="W39" s="8" t="s">
        <v>53</v>
      </c>
      <c r="X39" s="8" t="s">
        <v>55</v>
      </c>
      <c r="Y39" s="8" t="s">
        <v>54</v>
      </c>
      <c r="Z39" s="8" t="s">
        <v>53</v>
      </c>
      <c r="AA39" s="8" t="s">
        <v>53</v>
      </c>
      <c r="AB39" s="8" t="s">
        <v>55</v>
      </c>
      <c r="AC39" s="8" t="s">
        <v>55</v>
      </c>
      <c r="AD39" s="8" t="s">
        <v>55</v>
      </c>
      <c r="AE39" s="8" t="s">
        <v>53</v>
      </c>
      <c r="AF39" s="8" t="s">
        <v>57</v>
      </c>
      <c r="AG39" s="8" t="s">
        <v>63</v>
      </c>
      <c r="AH39" s="8" t="s">
        <v>63</v>
      </c>
      <c r="AI39" s="8" t="s">
        <v>58</v>
      </c>
      <c r="AJ39" s="8" t="s">
        <v>63</v>
      </c>
      <c r="AK39" s="8" t="s">
        <v>63</v>
      </c>
      <c r="AL39" s="8" t="s">
        <v>63</v>
      </c>
      <c r="AM39" s="8" t="s">
        <v>63</v>
      </c>
      <c r="AN39" s="8" t="s">
        <v>63</v>
      </c>
      <c r="AO39" s="8" t="s">
        <v>63</v>
      </c>
      <c r="AP39" s="8" t="s">
        <v>63</v>
      </c>
      <c r="AQ39" s="8" t="s">
        <v>63</v>
      </c>
      <c r="AR39" s="8" t="s">
        <v>63</v>
      </c>
      <c r="AS39" s="8" t="s">
        <v>63</v>
      </c>
      <c r="AT39" s="8" t="s">
        <v>58</v>
      </c>
      <c r="AU39" s="8" t="s">
        <v>63</v>
      </c>
      <c r="AV39" s="8" t="s">
        <v>63</v>
      </c>
      <c r="AW39" s="8" t="s">
        <v>63</v>
      </c>
    </row>
    <row r="40" spans="1:49" ht="16.05" customHeight="1" x14ac:dyDescent="0.3">
      <c r="A40" s="8" t="s">
        <v>173</v>
      </c>
      <c r="B40" s="8" t="s">
        <v>174</v>
      </c>
      <c r="C40" s="9">
        <v>46136.097500000003</v>
      </c>
      <c r="D40" s="10" t="s">
        <v>175</v>
      </c>
      <c r="E40" s="8" t="s">
        <v>121</v>
      </c>
      <c r="F40" s="8">
        <v>17</v>
      </c>
      <c r="G40" s="8" t="s">
        <v>54</v>
      </c>
      <c r="H40" s="8" t="s">
        <v>54</v>
      </c>
      <c r="I40" s="8" t="s">
        <v>55</v>
      </c>
      <c r="J40" s="8" t="s">
        <v>54</v>
      </c>
      <c r="K40" s="8" t="s">
        <v>55</v>
      </c>
      <c r="L40" s="8" t="s">
        <v>55</v>
      </c>
      <c r="M40" s="8" t="s">
        <v>55</v>
      </c>
      <c r="N40" s="8" t="s">
        <v>55</v>
      </c>
      <c r="O40" s="8" t="s">
        <v>54</v>
      </c>
      <c r="P40" s="8" t="s">
        <v>54</v>
      </c>
      <c r="Q40" s="8" t="s">
        <v>53</v>
      </c>
      <c r="R40" s="8" t="s">
        <v>55</v>
      </c>
      <c r="S40" s="8" t="s">
        <v>55</v>
      </c>
      <c r="T40" s="8" t="s">
        <v>55</v>
      </c>
      <c r="U40" s="8" t="s">
        <v>55</v>
      </c>
      <c r="V40" s="8" t="s">
        <v>54</v>
      </c>
      <c r="W40" s="8" t="s">
        <v>54</v>
      </c>
      <c r="X40" s="8" t="s">
        <v>55</v>
      </c>
      <c r="Y40" s="8" t="s">
        <v>55</v>
      </c>
      <c r="Z40" s="8" t="s">
        <v>54</v>
      </c>
      <c r="AA40" s="8" t="s">
        <v>53</v>
      </c>
      <c r="AB40" s="8" t="s">
        <v>55</v>
      </c>
      <c r="AC40" s="8" t="s">
        <v>55</v>
      </c>
      <c r="AD40" s="8" t="s">
        <v>55</v>
      </c>
      <c r="AE40" s="8" t="s">
        <v>54</v>
      </c>
      <c r="AF40" s="8" t="s">
        <v>58</v>
      </c>
      <c r="AG40" s="8" t="s">
        <v>58</v>
      </c>
      <c r="AH40" s="8" t="s">
        <v>58</v>
      </c>
      <c r="AI40" s="8" t="s">
        <v>63</v>
      </c>
      <c r="AJ40" s="8" t="s">
        <v>57</v>
      </c>
      <c r="AK40" s="8" t="s">
        <v>63</v>
      </c>
      <c r="AL40" s="8" t="s">
        <v>63</v>
      </c>
      <c r="AM40" s="8" t="s">
        <v>58</v>
      </c>
      <c r="AN40" s="8" t="s">
        <v>63</v>
      </c>
      <c r="AO40" s="8" t="s">
        <v>63</v>
      </c>
      <c r="AP40" s="8" t="s">
        <v>63</v>
      </c>
      <c r="AQ40" s="8" t="s">
        <v>63</v>
      </c>
      <c r="AR40" s="8" t="s">
        <v>63</v>
      </c>
      <c r="AS40" s="8" t="s">
        <v>63</v>
      </c>
      <c r="AT40" s="8" t="s">
        <v>63</v>
      </c>
      <c r="AU40" s="8" t="s">
        <v>63</v>
      </c>
      <c r="AV40" s="8" t="s">
        <v>57</v>
      </c>
      <c r="AW40" s="8" t="s">
        <v>63</v>
      </c>
    </row>
    <row r="41" spans="1:49" ht="16.05" customHeight="1" x14ac:dyDescent="0.3">
      <c r="A41" s="8" t="s">
        <v>176</v>
      </c>
      <c r="B41" s="8" t="s">
        <v>177</v>
      </c>
      <c r="C41" s="9">
        <v>46136.097662037027</v>
      </c>
      <c r="D41" s="10" t="s">
        <v>178</v>
      </c>
      <c r="E41" s="8" t="s">
        <v>52</v>
      </c>
      <c r="F41" s="8">
        <v>17</v>
      </c>
      <c r="G41" s="8" t="s">
        <v>53</v>
      </c>
      <c r="H41" s="8" t="s">
        <v>55</v>
      </c>
      <c r="I41" s="8" t="s">
        <v>55</v>
      </c>
      <c r="J41" s="8" t="s">
        <v>53</v>
      </c>
      <c r="K41" s="8" t="s">
        <v>55</v>
      </c>
      <c r="L41" s="8" t="s">
        <v>55</v>
      </c>
      <c r="M41" s="8" t="s">
        <v>53</v>
      </c>
      <c r="N41" s="8" t="s">
        <v>54</v>
      </c>
      <c r="O41" s="8" t="s">
        <v>53</v>
      </c>
      <c r="P41" s="8" t="s">
        <v>54</v>
      </c>
      <c r="Q41" s="8" t="s">
        <v>53</v>
      </c>
      <c r="R41" s="8" t="s">
        <v>55</v>
      </c>
      <c r="S41" s="8" t="s">
        <v>55</v>
      </c>
      <c r="T41" s="8" t="s">
        <v>53</v>
      </c>
      <c r="U41" s="8" t="s">
        <v>55</v>
      </c>
      <c r="V41" s="8" t="s">
        <v>55</v>
      </c>
      <c r="W41" s="8" t="s">
        <v>53</v>
      </c>
      <c r="X41" s="8" t="s">
        <v>55</v>
      </c>
      <c r="Y41" s="8" t="s">
        <v>55</v>
      </c>
      <c r="Z41" s="8" t="s">
        <v>53</v>
      </c>
      <c r="AA41" s="8" t="s">
        <v>53</v>
      </c>
      <c r="AB41" s="8" t="s">
        <v>55</v>
      </c>
      <c r="AC41" s="8" t="s">
        <v>55</v>
      </c>
      <c r="AD41" s="8" t="s">
        <v>55</v>
      </c>
      <c r="AE41" s="8" t="s">
        <v>53</v>
      </c>
      <c r="AF41" s="8" t="s">
        <v>57</v>
      </c>
      <c r="AG41" s="8" t="s">
        <v>58</v>
      </c>
      <c r="AH41" s="8" t="s">
        <v>58</v>
      </c>
      <c r="AI41" s="8" t="s">
        <v>63</v>
      </c>
      <c r="AJ41" s="8" t="s">
        <v>59</v>
      </c>
      <c r="AK41" s="8" t="s">
        <v>63</v>
      </c>
      <c r="AL41" s="8" t="s">
        <v>63</v>
      </c>
      <c r="AM41" s="8" t="s">
        <v>58</v>
      </c>
      <c r="AN41" s="8" t="s">
        <v>63</v>
      </c>
      <c r="AO41" s="8" t="s">
        <v>63</v>
      </c>
      <c r="AP41" s="8" t="s">
        <v>63</v>
      </c>
      <c r="AQ41" s="8" t="s">
        <v>58</v>
      </c>
      <c r="AR41" s="8" t="s">
        <v>58</v>
      </c>
      <c r="AS41" s="8" t="s">
        <v>63</v>
      </c>
      <c r="AT41" s="8" t="s">
        <v>63</v>
      </c>
      <c r="AU41" s="8" t="s">
        <v>57</v>
      </c>
      <c r="AV41" s="8" t="s">
        <v>58</v>
      </c>
      <c r="AW41" s="8" t="s">
        <v>57</v>
      </c>
    </row>
    <row r="42" spans="1:49" ht="16.05" customHeight="1" x14ac:dyDescent="0.3">
      <c r="A42" s="8" t="s">
        <v>179</v>
      </c>
      <c r="B42" s="8" t="s">
        <v>180</v>
      </c>
      <c r="C42" s="9">
        <v>46136.097824074073</v>
      </c>
      <c r="D42" s="10" t="s">
        <v>181</v>
      </c>
      <c r="E42" s="8" t="s">
        <v>121</v>
      </c>
      <c r="F42" s="8">
        <v>18</v>
      </c>
      <c r="G42" s="8" t="s">
        <v>53</v>
      </c>
      <c r="H42" s="8" t="s">
        <v>53</v>
      </c>
      <c r="I42" s="8" t="s">
        <v>54</v>
      </c>
      <c r="J42" s="8" t="s">
        <v>53</v>
      </c>
      <c r="K42" s="8" t="s">
        <v>54</v>
      </c>
      <c r="L42" s="8" t="s">
        <v>55</v>
      </c>
      <c r="M42" s="8" t="s">
        <v>54</v>
      </c>
      <c r="N42" s="8" t="s">
        <v>55</v>
      </c>
      <c r="O42" s="8" t="s">
        <v>53</v>
      </c>
      <c r="P42" s="8" t="s">
        <v>54</v>
      </c>
      <c r="Q42" s="8" t="s">
        <v>53</v>
      </c>
      <c r="R42" s="8" t="s">
        <v>55</v>
      </c>
      <c r="S42" s="8" t="s">
        <v>53</v>
      </c>
      <c r="T42" s="8" t="s">
        <v>54</v>
      </c>
      <c r="U42" s="8" t="s">
        <v>55</v>
      </c>
      <c r="V42" s="8" t="s">
        <v>54</v>
      </c>
      <c r="W42" s="8" t="s">
        <v>54</v>
      </c>
      <c r="X42" s="8" t="s">
        <v>55</v>
      </c>
      <c r="Y42" s="8" t="s">
        <v>55</v>
      </c>
      <c r="Z42" s="8" t="s">
        <v>53</v>
      </c>
      <c r="AA42" s="8" t="s">
        <v>54</v>
      </c>
      <c r="AB42" s="8" t="s">
        <v>55</v>
      </c>
      <c r="AC42" s="8" t="s">
        <v>55</v>
      </c>
      <c r="AD42" s="8" t="s">
        <v>55</v>
      </c>
      <c r="AE42" s="8" t="s">
        <v>53</v>
      </c>
      <c r="AF42" s="8" t="s">
        <v>58</v>
      </c>
      <c r="AG42" s="8" t="s">
        <v>57</v>
      </c>
      <c r="AH42" s="8" t="s">
        <v>57</v>
      </c>
      <c r="AI42" s="8" t="s">
        <v>63</v>
      </c>
      <c r="AJ42" s="8" t="s">
        <v>56</v>
      </c>
      <c r="AK42" s="8" t="s">
        <v>63</v>
      </c>
      <c r="AL42" s="8" t="s">
        <v>63</v>
      </c>
      <c r="AM42" s="8" t="s">
        <v>57</v>
      </c>
      <c r="AN42" s="8" t="s">
        <v>63</v>
      </c>
      <c r="AO42" s="8" t="s">
        <v>56</v>
      </c>
      <c r="AP42" s="8" t="s">
        <v>63</v>
      </c>
      <c r="AQ42" s="8" t="s">
        <v>59</v>
      </c>
      <c r="AR42" s="8" t="s">
        <v>63</v>
      </c>
      <c r="AS42" s="8" t="s">
        <v>63</v>
      </c>
      <c r="AT42" s="8" t="s">
        <v>58</v>
      </c>
      <c r="AU42" s="8" t="s">
        <v>58</v>
      </c>
      <c r="AV42" s="8" t="s">
        <v>63</v>
      </c>
      <c r="AW42" s="8" t="s">
        <v>63</v>
      </c>
    </row>
    <row r="43" spans="1:49" ht="16.05" customHeight="1" x14ac:dyDescent="0.3">
      <c r="A43" s="8" t="s">
        <v>182</v>
      </c>
      <c r="B43" s="8" t="s">
        <v>183</v>
      </c>
      <c r="C43" s="9">
        <v>46136.097870370373</v>
      </c>
      <c r="D43" s="10" t="s">
        <v>184</v>
      </c>
      <c r="E43" s="8" t="s">
        <v>121</v>
      </c>
      <c r="F43" s="8">
        <v>17</v>
      </c>
      <c r="G43" s="8" t="s">
        <v>54</v>
      </c>
      <c r="H43" s="8" t="s">
        <v>55</v>
      </c>
      <c r="I43" s="8" t="s">
        <v>53</v>
      </c>
      <c r="J43" s="8" t="s">
        <v>54</v>
      </c>
      <c r="K43" s="8" t="s">
        <v>55</v>
      </c>
      <c r="L43" s="8" t="s">
        <v>54</v>
      </c>
      <c r="M43" s="8" t="s">
        <v>54</v>
      </c>
      <c r="N43" s="8" t="s">
        <v>54</v>
      </c>
      <c r="O43" s="8" t="s">
        <v>54</v>
      </c>
      <c r="P43" s="8" t="s">
        <v>55</v>
      </c>
      <c r="Q43" s="8" t="s">
        <v>53</v>
      </c>
      <c r="R43" s="8" t="s">
        <v>55</v>
      </c>
      <c r="S43" s="8" t="s">
        <v>54</v>
      </c>
      <c r="T43" s="8" t="s">
        <v>54</v>
      </c>
      <c r="U43" s="8" t="s">
        <v>54</v>
      </c>
      <c r="V43" s="8" t="s">
        <v>54</v>
      </c>
      <c r="W43" s="8" t="s">
        <v>53</v>
      </c>
      <c r="X43" s="8" t="s">
        <v>54</v>
      </c>
      <c r="Y43" s="8" t="s">
        <v>55</v>
      </c>
      <c r="Z43" s="8" t="s">
        <v>54</v>
      </c>
      <c r="AA43" s="8" t="s">
        <v>53</v>
      </c>
      <c r="AB43" s="8" t="s">
        <v>55</v>
      </c>
      <c r="AC43" s="8" t="s">
        <v>54</v>
      </c>
      <c r="AD43" s="8" t="s">
        <v>54</v>
      </c>
      <c r="AE43" s="8" t="s">
        <v>53</v>
      </c>
      <c r="AF43" s="8" t="s">
        <v>56</v>
      </c>
      <c r="AG43" s="8" t="s">
        <v>57</v>
      </c>
      <c r="AH43" s="8" t="s">
        <v>57</v>
      </c>
      <c r="AI43" s="8" t="s">
        <v>58</v>
      </c>
      <c r="AJ43" s="8" t="s">
        <v>57</v>
      </c>
      <c r="AK43" s="8" t="s">
        <v>58</v>
      </c>
      <c r="AL43" s="8" t="s">
        <v>58</v>
      </c>
      <c r="AM43" s="8" t="s">
        <v>63</v>
      </c>
      <c r="AN43" s="8" t="s">
        <v>59</v>
      </c>
      <c r="AO43" s="8" t="s">
        <v>58</v>
      </c>
      <c r="AP43" s="8" t="s">
        <v>58</v>
      </c>
      <c r="AQ43" s="8" t="s">
        <v>58</v>
      </c>
      <c r="AR43" s="8" t="s">
        <v>58</v>
      </c>
      <c r="AS43" s="8" t="s">
        <v>58</v>
      </c>
      <c r="AT43" s="8" t="s">
        <v>57</v>
      </c>
      <c r="AU43" s="8" t="s">
        <v>57</v>
      </c>
      <c r="AV43" s="8" t="s">
        <v>63</v>
      </c>
      <c r="AW43" s="8" t="s">
        <v>58</v>
      </c>
    </row>
    <row r="44" spans="1:49" ht="16.05" customHeight="1" x14ac:dyDescent="0.3">
      <c r="A44" s="8" t="s">
        <v>185</v>
      </c>
      <c r="B44" s="8" t="s">
        <v>186</v>
      </c>
      <c r="C44" s="9">
        <v>46136.097905092603</v>
      </c>
      <c r="D44" s="10" t="s">
        <v>187</v>
      </c>
      <c r="E44" s="8" t="s">
        <v>121</v>
      </c>
      <c r="F44" s="8">
        <v>16</v>
      </c>
      <c r="G44" s="8" t="s">
        <v>53</v>
      </c>
      <c r="H44" s="8" t="s">
        <v>54</v>
      </c>
      <c r="I44" s="8" t="s">
        <v>53</v>
      </c>
      <c r="J44" s="8" t="s">
        <v>53</v>
      </c>
      <c r="K44" s="8" t="s">
        <v>55</v>
      </c>
      <c r="L44" s="8" t="s">
        <v>55</v>
      </c>
      <c r="M44" s="8" t="s">
        <v>55</v>
      </c>
      <c r="N44" s="8" t="s">
        <v>53</v>
      </c>
      <c r="O44" s="8" t="s">
        <v>53</v>
      </c>
      <c r="P44" s="8" t="s">
        <v>54</v>
      </c>
      <c r="Q44" s="8" t="s">
        <v>53</v>
      </c>
      <c r="R44" s="8" t="s">
        <v>55</v>
      </c>
      <c r="S44" s="8" t="s">
        <v>54</v>
      </c>
      <c r="T44" s="8" t="s">
        <v>54</v>
      </c>
      <c r="U44" s="8" t="s">
        <v>54</v>
      </c>
      <c r="V44" s="8" t="s">
        <v>54</v>
      </c>
      <c r="W44" s="8" t="s">
        <v>53</v>
      </c>
      <c r="X44" s="8" t="s">
        <v>55</v>
      </c>
      <c r="Y44" s="8" t="s">
        <v>55</v>
      </c>
      <c r="Z44" s="8" t="s">
        <v>53</v>
      </c>
      <c r="AA44" s="8" t="s">
        <v>53</v>
      </c>
      <c r="AB44" s="8" t="s">
        <v>55</v>
      </c>
      <c r="AC44" s="8" t="s">
        <v>54</v>
      </c>
      <c r="AD44" s="8" t="s">
        <v>54</v>
      </c>
      <c r="AE44" s="8" t="s">
        <v>53</v>
      </c>
      <c r="AF44" s="8" t="s">
        <v>56</v>
      </c>
      <c r="AG44" s="8" t="s">
        <v>57</v>
      </c>
      <c r="AH44" s="8" t="s">
        <v>63</v>
      </c>
      <c r="AI44" s="8" t="s">
        <v>58</v>
      </c>
      <c r="AJ44" s="8" t="s">
        <v>59</v>
      </c>
      <c r="AK44" s="8" t="s">
        <v>58</v>
      </c>
      <c r="AL44" s="8" t="s">
        <v>57</v>
      </c>
      <c r="AM44" s="8" t="s">
        <v>57</v>
      </c>
      <c r="AN44" s="8" t="s">
        <v>58</v>
      </c>
      <c r="AO44" s="8" t="s">
        <v>59</v>
      </c>
      <c r="AP44" s="8" t="s">
        <v>63</v>
      </c>
      <c r="AQ44" s="8" t="s">
        <v>63</v>
      </c>
      <c r="AR44" s="8" t="s">
        <v>63</v>
      </c>
      <c r="AS44" s="8" t="s">
        <v>58</v>
      </c>
      <c r="AT44" s="8" t="s">
        <v>57</v>
      </c>
      <c r="AU44" s="8" t="s">
        <v>58</v>
      </c>
      <c r="AV44" s="8" t="s">
        <v>57</v>
      </c>
      <c r="AW44" s="8" t="s">
        <v>58</v>
      </c>
    </row>
    <row r="45" spans="1:49" ht="16.05" customHeight="1" x14ac:dyDescent="0.3">
      <c r="A45" s="8" t="s">
        <v>188</v>
      </c>
      <c r="B45" s="8" t="s">
        <v>189</v>
      </c>
      <c r="C45" s="9">
        <v>46136.097974537042</v>
      </c>
      <c r="D45" s="10" t="s">
        <v>190</v>
      </c>
      <c r="E45" s="8" t="s">
        <v>121</v>
      </c>
      <c r="F45" s="8">
        <v>17</v>
      </c>
      <c r="G45" s="8" t="s">
        <v>53</v>
      </c>
      <c r="H45" s="8" t="s">
        <v>54</v>
      </c>
      <c r="I45" s="8" t="s">
        <v>53</v>
      </c>
      <c r="J45" s="8" t="s">
        <v>54</v>
      </c>
      <c r="K45" s="8" t="s">
        <v>55</v>
      </c>
      <c r="L45" s="8" t="s">
        <v>53</v>
      </c>
      <c r="M45" s="8" t="s">
        <v>53</v>
      </c>
      <c r="N45" s="8" t="s">
        <v>53</v>
      </c>
      <c r="O45" s="8" t="s">
        <v>54</v>
      </c>
      <c r="P45" s="8" t="s">
        <v>53</v>
      </c>
      <c r="Q45" s="8" t="s">
        <v>55</v>
      </c>
      <c r="R45" s="8" t="s">
        <v>55</v>
      </c>
      <c r="S45" s="8" t="s">
        <v>53</v>
      </c>
      <c r="T45" s="8" t="s">
        <v>55</v>
      </c>
      <c r="U45" s="8" t="s">
        <v>53</v>
      </c>
      <c r="V45" s="8" t="s">
        <v>53</v>
      </c>
      <c r="W45" s="8" t="s">
        <v>54</v>
      </c>
      <c r="X45" s="8" t="s">
        <v>54</v>
      </c>
      <c r="Y45" s="8" t="s">
        <v>55</v>
      </c>
      <c r="Z45" s="8" t="s">
        <v>53</v>
      </c>
      <c r="AA45" s="8" t="s">
        <v>53</v>
      </c>
      <c r="AB45" s="8" t="s">
        <v>55</v>
      </c>
      <c r="AC45" s="8" t="s">
        <v>55</v>
      </c>
      <c r="AD45" s="8" t="s">
        <v>54</v>
      </c>
      <c r="AE45" s="8" t="s">
        <v>54</v>
      </c>
      <c r="AF45" s="8" t="s">
        <v>56</v>
      </c>
      <c r="AG45" s="8" t="s">
        <v>56</v>
      </c>
      <c r="AH45" s="8" t="s">
        <v>56</v>
      </c>
      <c r="AI45" s="8" t="s">
        <v>63</v>
      </c>
      <c r="AJ45" s="8" t="s">
        <v>58</v>
      </c>
      <c r="AK45" s="8" t="s">
        <v>57</v>
      </c>
      <c r="AL45" s="8" t="s">
        <v>57</v>
      </c>
      <c r="AM45" s="8" t="s">
        <v>58</v>
      </c>
      <c r="AN45" s="8" t="s">
        <v>58</v>
      </c>
      <c r="AO45" s="8" t="s">
        <v>58</v>
      </c>
      <c r="AP45" s="8" t="s">
        <v>63</v>
      </c>
      <c r="AQ45" s="8" t="s">
        <v>57</v>
      </c>
      <c r="AR45" s="8" t="s">
        <v>58</v>
      </c>
      <c r="AS45" s="8" t="s">
        <v>57</v>
      </c>
      <c r="AT45" s="8" t="s">
        <v>58</v>
      </c>
      <c r="AU45" s="8" t="s">
        <v>58</v>
      </c>
      <c r="AV45" s="8" t="s">
        <v>57</v>
      </c>
      <c r="AW45" s="8" t="s">
        <v>63</v>
      </c>
    </row>
    <row r="46" spans="1:49" ht="16.05" customHeight="1" x14ac:dyDescent="0.3">
      <c r="A46" s="8" t="s">
        <v>191</v>
      </c>
      <c r="B46" s="8" t="s">
        <v>192</v>
      </c>
      <c r="C46" s="9">
        <v>46136.098113425927</v>
      </c>
      <c r="D46" s="10" t="s">
        <v>193</v>
      </c>
      <c r="E46" s="8" t="s">
        <v>121</v>
      </c>
      <c r="F46" s="8">
        <v>17</v>
      </c>
      <c r="G46" s="8" t="s">
        <v>54</v>
      </c>
      <c r="H46" s="8" t="s">
        <v>53</v>
      </c>
      <c r="I46" s="8" t="s">
        <v>55</v>
      </c>
      <c r="J46" s="8" t="s">
        <v>54</v>
      </c>
      <c r="K46" s="8" t="s">
        <v>55</v>
      </c>
      <c r="L46" s="8" t="s">
        <v>55</v>
      </c>
      <c r="M46" s="8" t="s">
        <v>55</v>
      </c>
      <c r="N46" s="8" t="s">
        <v>55</v>
      </c>
      <c r="O46" s="8" t="s">
        <v>53</v>
      </c>
      <c r="P46" s="8" t="s">
        <v>53</v>
      </c>
      <c r="Q46" s="8" t="s">
        <v>53</v>
      </c>
      <c r="R46" s="8" t="s">
        <v>54</v>
      </c>
      <c r="S46" s="8" t="s">
        <v>55</v>
      </c>
      <c r="T46" s="8" t="s">
        <v>53</v>
      </c>
      <c r="U46" s="8" t="s">
        <v>53</v>
      </c>
      <c r="V46" s="8" t="s">
        <v>55</v>
      </c>
      <c r="W46" s="8" t="s">
        <v>53</v>
      </c>
      <c r="X46" s="8" t="s">
        <v>55</v>
      </c>
      <c r="Y46" s="8" t="s">
        <v>55</v>
      </c>
      <c r="Z46" s="8" t="s">
        <v>53</v>
      </c>
      <c r="AA46" s="8" t="s">
        <v>54</v>
      </c>
      <c r="AB46" s="8" t="s">
        <v>55</v>
      </c>
      <c r="AC46" s="8" t="s">
        <v>54</v>
      </c>
      <c r="AD46" s="8" t="s">
        <v>54</v>
      </c>
      <c r="AE46" s="8" t="s">
        <v>54</v>
      </c>
      <c r="AF46" s="8" t="s">
        <v>57</v>
      </c>
      <c r="AG46" s="8" t="s">
        <v>58</v>
      </c>
      <c r="AH46" s="8" t="s">
        <v>63</v>
      </c>
      <c r="AI46" s="8" t="s">
        <v>57</v>
      </c>
      <c r="AJ46" s="8" t="s">
        <v>63</v>
      </c>
      <c r="AK46" s="8" t="s">
        <v>63</v>
      </c>
      <c r="AL46" s="8" t="s">
        <v>57</v>
      </c>
      <c r="AM46" s="8" t="s">
        <v>63</v>
      </c>
      <c r="AN46" s="8" t="s">
        <v>63</v>
      </c>
      <c r="AO46" s="8" t="s">
        <v>59</v>
      </c>
      <c r="AP46" s="8" t="s">
        <v>58</v>
      </c>
      <c r="AQ46" s="8" t="s">
        <v>56</v>
      </c>
      <c r="AR46" s="8" t="s">
        <v>56</v>
      </c>
      <c r="AS46" s="8" t="s">
        <v>56</v>
      </c>
      <c r="AT46" s="8" t="s">
        <v>56</v>
      </c>
      <c r="AU46" s="8" t="s">
        <v>58</v>
      </c>
      <c r="AV46" s="8" t="s">
        <v>57</v>
      </c>
      <c r="AW46" s="8" t="s">
        <v>56</v>
      </c>
    </row>
    <row r="47" spans="1:49" ht="16.05" customHeight="1" x14ac:dyDescent="0.3">
      <c r="A47" s="8" t="s">
        <v>194</v>
      </c>
      <c r="B47" s="8" t="s">
        <v>195</v>
      </c>
      <c r="C47" s="9">
        <v>46136.098217592589</v>
      </c>
      <c r="D47" s="10" t="s">
        <v>196</v>
      </c>
      <c r="E47" s="8" t="s">
        <v>121</v>
      </c>
      <c r="F47" s="8">
        <v>17</v>
      </c>
      <c r="G47" s="8" t="s">
        <v>53</v>
      </c>
      <c r="H47" s="8" t="s">
        <v>54</v>
      </c>
      <c r="I47" s="8" t="s">
        <v>54</v>
      </c>
      <c r="J47" s="8" t="s">
        <v>54</v>
      </c>
      <c r="K47" s="8" t="s">
        <v>55</v>
      </c>
      <c r="L47" s="8" t="s">
        <v>54</v>
      </c>
      <c r="M47" s="8" t="s">
        <v>55</v>
      </c>
      <c r="N47" s="8" t="s">
        <v>54</v>
      </c>
      <c r="O47" s="8" t="s">
        <v>54</v>
      </c>
      <c r="P47" s="8" t="s">
        <v>55</v>
      </c>
      <c r="Q47" s="8" t="s">
        <v>53</v>
      </c>
      <c r="R47" s="8" t="s">
        <v>55</v>
      </c>
      <c r="S47" s="8" t="s">
        <v>55</v>
      </c>
      <c r="T47" s="8" t="s">
        <v>53</v>
      </c>
      <c r="U47" s="8" t="s">
        <v>55</v>
      </c>
      <c r="V47" s="8" t="s">
        <v>55</v>
      </c>
      <c r="W47" s="8" t="s">
        <v>53</v>
      </c>
      <c r="X47" s="8" t="s">
        <v>55</v>
      </c>
      <c r="Y47" s="8" t="s">
        <v>55</v>
      </c>
      <c r="Z47" s="8" t="s">
        <v>53</v>
      </c>
      <c r="AA47" s="8" t="s">
        <v>53</v>
      </c>
      <c r="AB47" s="8" t="s">
        <v>55</v>
      </c>
      <c r="AC47" s="8" t="s">
        <v>55</v>
      </c>
      <c r="AD47" s="8" t="s">
        <v>55</v>
      </c>
      <c r="AE47" s="8" t="s">
        <v>53</v>
      </c>
      <c r="AF47" s="8" t="s">
        <v>57</v>
      </c>
      <c r="AG47" s="8" t="s">
        <v>58</v>
      </c>
      <c r="AH47" s="8" t="s">
        <v>58</v>
      </c>
      <c r="AI47" s="8" t="s">
        <v>58</v>
      </c>
      <c r="AJ47" s="8" t="s">
        <v>63</v>
      </c>
      <c r="AK47" s="8" t="s">
        <v>63</v>
      </c>
      <c r="AL47" s="8" t="s">
        <v>58</v>
      </c>
      <c r="AM47" s="8" t="s">
        <v>63</v>
      </c>
      <c r="AN47" s="8" t="s">
        <v>63</v>
      </c>
      <c r="AO47" s="8" t="s">
        <v>59</v>
      </c>
      <c r="AP47" s="8" t="s">
        <v>58</v>
      </c>
      <c r="AQ47" s="8" t="s">
        <v>56</v>
      </c>
      <c r="AR47" s="8" t="s">
        <v>56</v>
      </c>
      <c r="AS47" s="8" t="s">
        <v>56</v>
      </c>
      <c r="AT47" s="8" t="s">
        <v>56</v>
      </c>
      <c r="AU47" s="8" t="s">
        <v>58</v>
      </c>
      <c r="AV47" s="8" t="s">
        <v>57</v>
      </c>
      <c r="AW47" s="8" t="s">
        <v>59</v>
      </c>
    </row>
    <row r="48" spans="1:49" ht="16.05" customHeight="1" x14ac:dyDescent="0.3">
      <c r="A48" s="8" t="s">
        <v>197</v>
      </c>
      <c r="B48" s="8" t="s">
        <v>198</v>
      </c>
      <c r="C48" s="9">
        <v>46136.098310185182</v>
      </c>
      <c r="D48" s="10" t="s">
        <v>199</v>
      </c>
      <c r="E48" s="8" t="s">
        <v>121</v>
      </c>
      <c r="F48" s="8">
        <v>17</v>
      </c>
      <c r="G48" s="8" t="s">
        <v>53</v>
      </c>
      <c r="H48" s="8" t="s">
        <v>54</v>
      </c>
      <c r="I48" s="8" t="s">
        <v>54</v>
      </c>
      <c r="J48" s="8" t="s">
        <v>53</v>
      </c>
      <c r="K48" s="8" t="s">
        <v>54</v>
      </c>
      <c r="L48" s="8" t="s">
        <v>54</v>
      </c>
      <c r="M48" s="8" t="s">
        <v>53</v>
      </c>
      <c r="N48" s="8" t="s">
        <v>53</v>
      </c>
      <c r="O48" s="8" t="s">
        <v>53</v>
      </c>
      <c r="P48" s="8" t="s">
        <v>54</v>
      </c>
      <c r="Q48" s="8" t="s">
        <v>53</v>
      </c>
      <c r="R48" s="8" t="s">
        <v>55</v>
      </c>
      <c r="S48" s="8" t="s">
        <v>54</v>
      </c>
      <c r="T48" s="8" t="s">
        <v>54</v>
      </c>
      <c r="U48" s="8" t="s">
        <v>54</v>
      </c>
      <c r="V48" s="8" t="s">
        <v>53</v>
      </c>
      <c r="W48" s="8" t="s">
        <v>53</v>
      </c>
      <c r="X48" s="8" t="s">
        <v>55</v>
      </c>
      <c r="Y48" s="8" t="s">
        <v>55</v>
      </c>
      <c r="Z48" s="8" t="s">
        <v>54</v>
      </c>
      <c r="AA48" s="8" t="s">
        <v>54</v>
      </c>
      <c r="AB48" s="8" t="s">
        <v>55</v>
      </c>
      <c r="AC48" s="8" t="s">
        <v>54</v>
      </c>
      <c r="AD48" s="8" t="s">
        <v>53</v>
      </c>
      <c r="AE48" s="8" t="s">
        <v>54</v>
      </c>
      <c r="AF48" s="8" t="s">
        <v>57</v>
      </c>
      <c r="AG48" s="8" t="s">
        <v>57</v>
      </c>
      <c r="AH48" s="8" t="s">
        <v>57</v>
      </c>
      <c r="AI48" s="8" t="s">
        <v>56</v>
      </c>
      <c r="AJ48" s="8" t="s">
        <v>63</v>
      </c>
      <c r="AK48" s="8" t="s">
        <v>63</v>
      </c>
      <c r="AL48" s="8" t="s">
        <v>57</v>
      </c>
      <c r="AM48" s="8" t="s">
        <v>59</v>
      </c>
      <c r="AN48" s="8" t="s">
        <v>58</v>
      </c>
      <c r="AO48" s="8" t="s">
        <v>58</v>
      </c>
      <c r="AP48" s="8" t="s">
        <v>57</v>
      </c>
      <c r="AQ48" s="8" t="s">
        <v>57</v>
      </c>
      <c r="AR48" s="8" t="s">
        <v>57</v>
      </c>
      <c r="AS48" s="8" t="s">
        <v>57</v>
      </c>
      <c r="AT48" s="8" t="s">
        <v>57</v>
      </c>
      <c r="AU48" s="8" t="s">
        <v>57</v>
      </c>
      <c r="AV48" s="8" t="s">
        <v>58</v>
      </c>
      <c r="AW48" s="8" t="s">
        <v>63</v>
      </c>
    </row>
    <row r="49" spans="1:49" ht="16.05" customHeight="1" x14ac:dyDescent="0.3">
      <c r="A49" s="8" t="s">
        <v>200</v>
      </c>
      <c r="B49" s="8" t="s">
        <v>201</v>
      </c>
      <c r="C49" s="9">
        <v>46136.098391203697</v>
      </c>
      <c r="D49" s="10" t="s">
        <v>202</v>
      </c>
      <c r="E49" s="8" t="s">
        <v>121</v>
      </c>
      <c r="F49" s="8">
        <v>16</v>
      </c>
      <c r="G49" s="8" t="s">
        <v>53</v>
      </c>
      <c r="H49" s="8" t="s">
        <v>54</v>
      </c>
      <c r="I49" s="8" t="s">
        <v>54</v>
      </c>
      <c r="J49" s="8" t="s">
        <v>54</v>
      </c>
      <c r="K49" s="8" t="s">
        <v>54</v>
      </c>
      <c r="L49" s="8" t="s">
        <v>54</v>
      </c>
      <c r="M49" s="8" t="s">
        <v>54</v>
      </c>
      <c r="N49" s="8" t="s">
        <v>54</v>
      </c>
      <c r="O49" s="8" t="s">
        <v>53</v>
      </c>
      <c r="P49" s="8" t="s">
        <v>55</v>
      </c>
      <c r="Q49" s="8" t="s">
        <v>53</v>
      </c>
      <c r="R49" s="8" t="s">
        <v>55</v>
      </c>
      <c r="S49" s="8" t="s">
        <v>54</v>
      </c>
      <c r="T49" s="8" t="s">
        <v>54</v>
      </c>
      <c r="U49" s="8" t="s">
        <v>53</v>
      </c>
      <c r="V49" s="8" t="s">
        <v>54</v>
      </c>
      <c r="W49" s="8" t="s">
        <v>53</v>
      </c>
      <c r="X49" s="8" t="s">
        <v>55</v>
      </c>
      <c r="Y49" s="8" t="s">
        <v>54</v>
      </c>
      <c r="Z49" s="8" t="s">
        <v>53</v>
      </c>
      <c r="AA49" s="8" t="s">
        <v>54</v>
      </c>
      <c r="AB49" s="8" t="s">
        <v>55</v>
      </c>
      <c r="AC49" s="8" t="s">
        <v>55</v>
      </c>
      <c r="AD49" s="8" t="s">
        <v>54</v>
      </c>
      <c r="AE49" s="8" t="s">
        <v>54</v>
      </c>
      <c r="AF49" s="8" t="s">
        <v>57</v>
      </c>
      <c r="AG49" s="8" t="s">
        <v>57</v>
      </c>
      <c r="AH49" s="8" t="s">
        <v>57</v>
      </c>
      <c r="AI49" s="8" t="s">
        <v>57</v>
      </c>
      <c r="AJ49" s="8" t="s">
        <v>56</v>
      </c>
      <c r="AK49" s="8" t="s">
        <v>57</v>
      </c>
      <c r="AL49" s="8" t="s">
        <v>56</v>
      </c>
      <c r="AM49" s="8" t="s">
        <v>56</v>
      </c>
      <c r="AN49" s="8" t="s">
        <v>58</v>
      </c>
      <c r="AO49" s="8" t="s">
        <v>56</v>
      </c>
      <c r="AP49" s="8" t="s">
        <v>57</v>
      </c>
      <c r="AQ49" s="8" t="s">
        <v>57</v>
      </c>
      <c r="AR49" s="8" t="s">
        <v>57</v>
      </c>
      <c r="AS49" s="8" t="s">
        <v>57</v>
      </c>
      <c r="AT49" s="8" t="s">
        <v>56</v>
      </c>
      <c r="AU49" s="8" t="s">
        <v>58</v>
      </c>
      <c r="AV49" s="8" t="s">
        <v>57</v>
      </c>
      <c r="AW49" s="8" t="s">
        <v>57</v>
      </c>
    </row>
    <row r="50" spans="1:49" ht="16.05" customHeight="1" x14ac:dyDescent="0.3">
      <c r="A50" s="8" t="s">
        <v>203</v>
      </c>
      <c r="B50" s="8" t="s">
        <v>204</v>
      </c>
      <c r="C50" s="9">
        <v>46136.098692129628</v>
      </c>
      <c r="D50" s="10" t="s">
        <v>205</v>
      </c>
      <c r="E50" s="8" t="s">
        <v>121</v>
      </c>
      <c r="F50" s="8">
        <v>17</v>
      </c>
      <c r="G50" s="8" t="s">
        <v>53</v>
      </c>
      <c r="H50" s="8" t="s">
        <v>55</v>
      </c>
      <c r="I50" s="8" t="s">
        <v>55</v>
      </c>
      <c r="J50" s="8" t="s">
        <v>54</v>
      </c>
      <c r="K50" s="8" t="s">
        <v>55</v>
      </c>
      <c r="L50" s="8" t="s">
        <v>55</v>
      </c>
      <c r="M50" s="8" t="s">
        <v>55</v>
      </c>
      <c r="N50" s="8" t="s">
        <v>54</v>
      </c>
      <c r="O50" s="8" t="s">
        <v>54</v>
      </c>
      <c r="P50" s="8" t="s">
        <v>53</v>
      </c>
      <c r="Q50" s="8" t="s">
        <v>53</v>
      </c>
      <c r="R50" s="8" t="s">
        <v>55</v>
      </c>
      <c r="S50" s="8" t="s">
        <v>55</v>
      </c>
      <c r="T50" s="8" t="s">
        <v>54</v>
      </c>
      <c r="U50" s="8" t="s">
        <v>55</v>
      </c>
      <c r="V50" s="8" t="s">
        <v>54</v>
      </c>
      <c r="W50" s="8" t="s">
        <v>54</v>
      </c>
      <c r="X50" s="8" t="s">
        <v>55</v>
      </c>
      <c r="Y50" s="8" t="s">
        <v>55</v>
      </c>
      <c r="Z50" s="8" t="s">
        <v>54</v>
      </c>
      <c r="AA50" s="8" t="s">
        <v>54</v>
      </c>
      <c r="AB50" s="8" t="s">
        <v>55</v>
      </c>
      <c r="AC50" s="8" t="s">
        <v>55</v>
      </c>
      <c r="AD50" s="8" t="s">
        <v>55</v>
      </c>
      <c r="AE50" s="8" t="s">
        <v>54</v>
      </c>
      <c r="AF50" s="8" t="s">
        <v>57</v>
      </c>
      <c r="AG50" s="8" t="s">
        <v>58</v>
      </c>
      <c r="AH50" s="8" t="s">
        <v>57</v>
      </c>
      <c r="AI50" s="8" t="s">
        <v>58</v>
      </c>
      <c r="AJ50" s="8" t="s">
        <v>63</v>
      </c>
      <c r="AK50" s="8" t="s">
        <v>63</v>
      </c>
      <c r="AL50" s="8" t="s">
        <v>58</v>
      </c>
      <c r="AM50" s="8" t="s">
        <v>58</v>
      </c>
      <c r="AN50" s="8" t="s">
        <v>58</v>
      </c>
      <c r="AO50" s="8" t="s">
        <v>57</v>
      </c>
      <c r="AP50" s="8" t="s">
        <v>58</v>
      </c>
      <c r="AQ50" s="8" t="s">
        <v>57</v>
      </c>
      <c r="AR50" s="8" t="s">
        <v>57</v>
      </c>
      <c r="AS50" s="8" t="s">
        <v>58</v>
      </c>
      <c r="AT50" s="8" t="s">
        <v>58</v>
      </c>
      <c r="AU50" s="8" t="s">
        <v>58</v>
      </c>
      <c r="AV50" s="8" t="s">
        <v>58</v>
      </c>
      <c r="AW50" s="8" t="s">
        <v>63</v>
      </c>
    </row>
    <row r="51" spans="1:49" ht="16.05" customHeight="1" x14ac:dyDescent="0.3">
      <c r="A51" s="8" t="s">
        <v>206</v>
      </c>
      <c r="B51" s="8" t="s">
        <v>207</v>
      </c>
      <c r="C51" s="9">
        <v>46136.098819444444</v>
      </c>
      <c r="D51" s="10" t="s">
        <v>208</v>
      </c>
      <c r="E51" s="8" t="s">
        <v>121</v>
      </c>
      <c r="F51" s="8">
        <v>17</v>
      </c>
      <c r="G51" s="8" t="s">
        <v>53</v>
      </c>
      <c r="H51" s="8" t="s">
        <v>55</v>
      </c>
      <c r="I51" s="8" t="s">
        <v>54</v>
      </c>
      <c r="J51" s="8" t="s">
        <v>53</v>
      </c>
      <c r="K51" s="8" t="s">
        <v>55</v>
      </c>
      <c r="L51" s="8" t="s">
        <v>54</v>
      </c>
      <c r="M51" s="8" t="s">
        <v>53</v>
      </c>
      <c r="N51" s="8" t="s">
        <v>53</v>
      </c>
      <c r="O51" s="8" t="s">
        <v>53</v>
      </c>
      <c r="P51" s="8" t="s">
        <v>53</v>
      </c>
      <c r="Q51" s="8" t="s">
        <v>53</v>
      </c>
      <c r="R51" s="8" t="s">
        <v>55</v>
      </c>
      <c r="S51" s="8" t="s">
        <v>53</v>
      </c>
      <c r="T51" s="8" t="s">
        <v>55</v>
      </c>
      <c r="U51" s="8" t="s">
        <v>53</v>
      </c>
      <c r="V51" s="8" t="s">
        <v>53</v>
      </c>
      <c r="W51" s="8" t="s">
        <v>53</v>
      </c>
      <c r="X51" s="8" t="s">
        <v>54</v>
      </c>
      <c r="Y51" s="8" t="s">
        <v>54</v>
      </c>
      <c r="Z51" s="8" t="s">
        <v>53</v>
      </c>
      <c r="AA51" s="8" t="s">
        <v>53</v>
      </c>
      <c r="AB51" s="8" t="s">
        <v>55</v>
      </c>
      <c r="AC51" s="8" t="s">
        <v>55</v>
      </c>
      <c r="AD51" s="8" t="s">
        <v>53</v>
      </c>
      <c r="AE51" s="8" t="s">
        <v>53</v>
      </c>
      <c r="AF51" s="8" t="s">
        <v>57</v>
      </c>
      <c r="AG51" s="8" t="s">
        <v>58</v>
      </c>
      <c r="AH51" s="8" t="s">
        <v>58</v>
      </c>
      <c r="AI51" s="8" t="s">
        <v>63</v>
      </c>
      <c r="AJ51" s="8" t="s">
        <v>56</v>
      </c>
      <c r="AK51" s="8" t="s">
        <v>58</v>
      </c>
      <c r="AL51" s="8" t="s">
        <v>58</v>
      </c>
      <c r="AM51" s="8" t="s">
        <v>58</v>
      </c>
      <c r="AN51" s="8" t="s">
        <v>58</v>
      </c>
      <c r="AO51" s="8" t="s">
        <v>56</v>
      </c>
      <c r="AP51" s="8" t="s">
        <v>63</v>
      </c>
      <c r="AQ51" s="8" t="s">
        <v>57</v>
      </c>
      <c r="AR51" s="8" t="s">
        <v>58</v>
      </c>
      <c r="AS51" s="8" t="s">
        <v>57</v>
      </c>
      <c r="AT51" s="8" t="s">
        <v>58</v>
      </c>
      <c r="AU51" s="8" t="s">
        <v>58</v>
      </c>
      <c r="AV51" s="8" t="s">
        <v>63</v>
      </c>
      <c r="AW51" s="8" t="s">
        <v>63</v>
      </c>
    </row>
    <row r="52" spans="1:49" ht="16.05" customHeight="1" x14ac:dyDescent="0.3">
      <c r="A52" s="8" t="s">
        <v>209</v>
      </c>
      <c r="B52" s="8" t="s">
        <v>210</v>
      </c>
      <c r="C52" s="9">
        <v>46136.098900462966</v>
      </c>
      <c r="D52" s="10" t="s">
        <v>211</v>
      </c>
      <c r="E52" s="8" t="s">
        <v>212</v>
      </c>
      <c r="F52" s="8">
        <v>17</v>
      </c>
      <c r="G52" s="8" t="s">
        <v>53</v>
      </c>
      <c r="H52" s="8" t="s">
        <v>53</v>
      </c>
      <c r="I52" s="8" t="s">
        <v>54</v>
      </c>
      <c r="J52" s="8" t="s">
        <v>53</v>
      </c>
      <c r="K52" s="8" t="s">
        <v>53</v>
      </c>
      <c r="L52" s="8" t="s">
        <v>55</v>
      </c>
      <c r="M52" s="8" t="s">
        <v>54</v>
      </c>
      <c r="N52" s="8" t="s">
        <v>53</v>
      </c>
      <c r="O52" s="8" t="s">
        <v>53</v>
      </c>
      <c r="P52" s="8" t="s">
        <v>53</v>
      </c>
      <c r="Q52" s="8" t="s">
        <v>53</v>
      </c>
      <c r="R52" s="8" t="s">
        <v>53</v>
      </c>
      <c r="S52" s="8" t="s">
        <v>53</v>
      </c>
      <c r="T52" s="8" t="s">
        <v>53</v>
      </c>
      <c r="U52" s="8" t="s">
        <v>53</v>
      </c>
      <c r="V52" s="8" t="s">
        <v>54</v>
      </c>
      <c r="W52" s="8" t="s">
        <v>53</v>
      </c>
      <c r="X52" s="8" t="s">
        <v>55</v>
      </c>
      <c r="Y52" s="8" t="s">
        <v>55</v>
      </c>
      <c r="Z52" s="8" t="s">
        <v>53</v>
      </c>
      <c r="AA52" s="8" t="s">
        <v>53</v>
      </c>
      <c r="AB52" s="8" t="s">
        <v>55</v>
      </c>
      <c r="AC52" s="8" t="s">
        <v>54</v>
      </c>
      <c r="AD52" s="8" t="s">
        <v>53</v>
      </c>
      <c r="AE52" s="8" t="s">
        <v>53</v>
      </c>
      <c r="AF52" s="8" t="s">
        <v>56</v>
      </c>
      <c r="AG52" s="8" t="s">
        <v>57</v>
      </c>
      <c r="AH52" s="8" t="s">
        <v>57</v>
      </c>
      <c r="AI52" s="8" t="s">
        <v>57</v>
      </c>
      <c r="AJ52" s="8" t="s">
        <v>56</v>
      </c>
      <c r="AK52" s="8" t="s">
        <v>58</v>
      </c>
      <c r="AL52" s="8" t="s">
        <v>57</v>
      </c>
      <c r="AM52" s="8" t="s">
        <v>56</v>
      </c>
      <c r="AN52" s="8" t="s">
        <v>57</v>
      </c>
      <c r="AO52" s="8" t="s">
        <v>59</v>
      </c>
      <c r="AP52" s="8" t="s">
        <v>58</v>
      </c>
      <c r="AQ52" s="8" t="s">
        <v>57</v>
      </c>
      <c r="AR52" s="8" t="s">
        <v>57</v>
      </c>
      <c r="AS52" s="8" t="s">
        <v>56</v>
      </c>
      <c r="AT52" s="8" t="s">
        <v>56</v>
      </c>
      <c r="AU52" s="8" t="s">
        <v>58</v>
      </c>
      <c r="AV52" s="8" t="s">
        <v>57</v>
      </c>
      <c r="AW52" s="8" t="s">
        <v>56</v>
      </c>
    </row>
    <row r="53" spans="1:49" ht="16.05" customHeight="1" x14ac:dyDescent="0.3">
      <c r="A53" s="8" t="s">
        <v>213</v>
      </c>
      <c r="B53" s="8" t="s">
        <v>214</v>
      </c>
      <c r="C53" s="9">
        <v>46136.098981481482</v>
      </c>
      <c r="D53" s="10" t="s">
        <v>215</v>
      </c>
      <c r="E53" s="8" t="s">
        <v>121</v>
      </c>
      <c r="F53" s="8">
        <v>17</v>
      </c>
      <c r="G53" s="8" t="s">
        <v>53</v>
      </c>
      <c r="H53" s="8" t="s">
        <v>55</v>
      </c>
      <c r="I53" s="8" t="s">
        <v>55</v>
      </c>
      <c r="J53" s="8" t="s">
        <v>53</v>
      </c>
      <c r="K53" s="8" t="s">
        <v>55</v>
      </c>
      <c r="L53" s="8" t="s">
        <v>55</v>
      </c>
      <c r="M53" s="8" t="s">
        <v>55</v>
      </c>
      <c r="N53" s="8" t="s">
        <v>54</v>
      </c>
      <c r="O53" s="8" t="s">
        <v>53</v>
      </c>
      <c r="P53" s="8" t="s">
        <v>54</v>
      </c>
      <c r="Q53" s="8" t="s">
        <v>53</v>
      </c>
      <c r="R53" s="8" t="s">
        <v>55</v>
      </c>
      <c r="S53" s="8" t="s">
        <v>55</v>
      </c>
      <c r="T53" s="8" t="s">
        <v>53</v>
      </c>
      <c r="U53" s="8" t="s">
        <v>54</v>
      </c>
      <c r="V53" s="8" t="s">
        <v>54</v>
      </c>
      <c r="W53" s="8" t="s">
        <v>53</v>
      </c>
      <c r="X53" s="8" t="s">
        <v>55</v>
      </c>
      <c r="Y53" s="8" t="s">
        <v>55</v>
      </c>
      <c r="Z53" s="8" t="s">
        <v>53</v>
      </c>
      <c r="AA53" s="8" t="s">
        <v>53</v>
      </c>
      <c r="AB53" s="8" t="s">
        <v>55</v>
      </c>
      <c r="AC53" s="8" t="s">
        <v>55</v>
      </c>
      <c r="AD53" s="8" t="s">
        <v>54</v>
      </c>
      <c r="AE53" s="8" t="s">
        <v>53</v>
      </c>
      <c r="AF53" s="8" t="s">
        <v>57</v>
      </c>
      <c r="AG53" s="8" t="s">
        <v>63</v>
      </c>
      <c r="AH53" s="8" t="s">
        <v>63</v>
      </c>
      <c r="AI53" s="8" t="s">
        <v>63</v>
      </c>
      <c r="AJ53" s="8" t="s">
        <v>59</v>
      </c>
      <c r="AK53" s="8" t="s">
        <v>63</v>
      </c>
      <c r="AL53" s="8" t="s">
        <v>58</v>
      </c>
      <c r="AM53" s="8" t="s">
        <v>58</v>
      </c>
      <c r="AN53" s="8" t="s">
        <v>58</v>
      </c>
      <c r="AO53" s="8" t="s">
        <v>57</v>
      </c>
      <c r="AP53" s="8" t="s">
        <v>57</v>
      </c>
      <c r="AQ53" s="8" t="s">
        <v>63</v>
      </c>
      <c r="AR53" s="8" t="s">
        <v>63</v>
      </c>
      <c r="AS53" s="8" t="s">
        <v>63</v>
      </c>
      <c r="AT53" s="8" t="s">
        <v>57</v>
      </c>
      <c r="AU53" s="8" t="s">
        <v>58</v>
      </c>
      <c r="AV53" s="8" t="s">
        <v>57</v>
      </c>
      <c r="AW53" s="8" t="s">
        <v>58</v>
      </c>
    </row>
    <row r="54" spans="1:49" ht="16.05" customHeight="1" x14ac:dyDescent="0.3">
      <c r="A54" s="8" t="s">
        <v>216</v>
      </c>
      <c r="B54" s="8" t="s">
        <v>217</v>
      </c>
      <c r="C54" s="9">
        <v>46136.098969907413</v>
      </c>
      <c r="D54" s="10" t="s">
        <v>218</v>
      </c>
      <c r="E54" s="8" t="s">
        <v>121</v>
      </c>
      <c r="F54" s="8">
        <v>17</v>
      </c>
      <c r="G54" s="8" t="s">
        <v>53</v>
      </c>
      <c r="H54" s="8" t="s">
        <v>55</v>
      </c>
      <c r="I54" s="8" t="s">
        <v>55</v>
      </c>
      <c r="J54" s="8" t="s">
        <v>53</v>
      </c>
      <c r="K54" s="8" t="s">
        <v>55</v>
      </c>
      <c r="L54" s="8" t="s">
        <v>54</v>
      </c>
      <c r="M54" s="8" t="s">
        <v>55</v>
      </c>
      <c r="N54" s="8" t="s">
        <v>54</v>
      </c>
      <c r="O54" s="8" t="s">
        <v>53</v>
      </c>
      <c r="P54" s="8" t="s">
        <v>54</v>
      </c>
      <c r="Q54" s="8" t="s">
        <v>53</v>
      </c>
      <c r="R54" s="8" t="s">
        <v>55</v>
      </c>
      <c r="S54" s="8" t="s">
        <v>55</v>
      </c>
      <c r="T54" s="8" t="s">
        <v>53</v>
      </c>
      <c r="U54" s="8" t="s">
        <v>55</v>
      </c>
      <c r="V54" s="8" t="s">
        <v>54</v>
      </c>
      <c r="W54" s="8" t="s">
        <v>53</v>
      </c>
      <c r="X54" s="8" t="s">
        <v>55</v>
      </c>
      <c r="Y54" s="8" t="s">
        <v>55</v>
      </c>
      <c r="Z54" s="8" t="s">
        <v>53</v>
      </c>
      <c r="AA54" s="8" t="s">
        <v>53</v>
      </c>
      <c r="AB54" s="8" t="s">
        <v>55</v>
      </c>
      <c r="AC54" s="8" t="s">
        <v>55</v>
      </c>
      <c r="AD54" s="8" t="s">
        <v>53</v>
      </c>
      <c r="AE54" s="8" t="s">
        <v>53</v>
      </c>
      <c r="AF54" s="8" t="s">
        <v>56</v>
      </c>
      <c r="AG54" s="8" t="s">
        <v>58</v>
      </c>
      <c r="AH54" s="8" t="s">
        <v>58</v>
      </c>
      <c r="AI54" s="8" t="s">
        <v>63</v>
      </c>
      <c r="AJ54" s="8" t="s">
        <v>56</v>
      </c>
      <c r="AK54" s="8" t="s">
        <v>63</v>
      </c>
      <c r="AL54" s="8" t="s">
        <v>63</v>
      </c>
      <c r="AM54" s="8" t="s">
        <v>58</v>
      </c>
      <c r="AN54" s="8" t="s">
        <v>58</v>
      </c>
      <c r="AO54" s="8" t="s">
        <v>56</v>
      </c>
      <c r="AP54" s="8" t="s">
        <v>57</v>
      </c>
      <c r="AQ54" s="8" t="s">
        <v>57</v>
      </c>
      <c r="AR54" s="8" t="s">
        <v>57</v>
      </c>
      <c r="AS54" s="8" t="s">
        <v>56</v>
      </c>
      <c r="AT54" s="8" t="s">
        <v>57</v>
      </c>
      <c r="AU54" s="8" t="s">
        <v>57</v>
      </c>
      <c r="AV54" s="8" t="s">
        <v>58</v>
      </c>
      <c r="AW54" s="8" t="s">
        <v>57</v>
      </c>
    </row>
    <row r="55" spans="1:49" ht="16.05" customHeight="1" x14ac:dyDescent="0.3">
      <c r="A55" s="8" t="s">
        <v>219</v>
      </c>
      <c r="B55" s="8" t="s">
        <v>220</v>
      </c>
      <c r="C55" s="9">
        <v>46136.099236111113</v>
      </c>
      <c r="D55" s="10" t="s">
        <v>221</v>
      </c>
      <c r="E55" s="8" t="s">
        <v>121</v>
      </c>
      <c r="F55" s="8">
        <v>17</v>
      </c>
      <c r="G55" s="8" t="s">
        <v>53</v>
      </c>
      <c r="H55" s="8" t="s">
        <v>54</v>
      </c>
      <c r="I55" s="8" t="s">
        <v>54</v>
      </c>
      <c r="J55" s="8" t="s">
        <v>53</v>
      </c>
      <c r="K55" s="8" t="s">
        <v>55</v>
      </c>
      <c r="L55" s="8" t="s">
        <v>55</v>
      </c>
      <c r="M55" s="8" t="s">
        <v>54</v>
      </c>
      <c r="N55" s="8" t="s">
        <v>54</v>
      </c>
      <c r="O55" s="8" t="s">
        <v>53</v>
      </c>
      <c r="P55" s="8" t="s">
        <v>55</v>
      </c>
      <c r="Q55" s="8" t="s">
        <v>53</v>
      </c>
      <c r="R55" s="8" t="s">
        <v>55</v>
      </c>
      <c r="S55" s="8" t="s">
        <v>55</v>
      </c>
      <c r="T55" s="8" t="s">
        <v>54</v>
      </c>
      <c r="U55" s="8" t="s">
        <v>54</v>
      </c>
      <c r="V55" s="8" t="s">
        <v>54</v>
      </c>
      <c r="W55" s="8" t="s">
        <v>54</v>
      </c>
      <c r="X55" s="8" t="s">
        <v>55</v>
      </c>
      <c r="Y55" s="8" t="s">
        <v>55</v>
      </c>
      <c r="Z55" s="8" t="s">
        <v>53</v>
      </c>
      <c r="AA55" s="8" t="s">
        <v>53</v>
      </c>
      <c r="AB55" s="8" t="s">
        <v>55</v>
      </c>
      <c r="AC55" s="8" t="s">
        <v>55</v>
      </c>
      <c r="AD55" s="8" t="s">
        <v>54</v>
      </c>
      <c r="AE55" s="8" t="s">
        <v>54</v>
      </c>
      <c r="AF55" s="8" t="s">
        <v>56</v>
      </c>
      <c r="AG55" s="8" t="s">
        <v>58</v>
      </c>
      <c r="AH55" s="8" t="s">
        <v>57</v>
      </c>
      <c r="AI55" s="8" t="s">
        <v>58</v>
      </c>
      <c r="AJ55" s="8" t="s">
        <v>57</v>
      </c>
      <c r="AK55" s="8" t="s">
        <v>58</v>
      </c>
      <c r="AL55" s="8" t="s">
        <v>58</v>
      </c>
      <c r="AM55" s="8" t="s">
        <v>56</v>
      </c>
      <c r="AN55" s="8" t="s">
        <v>63</v>
      </c>
      <c r="AO55" s="8" t="s">
        <v>57</v>
      </c>
      <c r="AP55" s="8" t="s">
        <v>58</v>
      </c>
      <c r="AQ55" s="8" t="s">
        <v>57</v>
      </c>
      <c r="AR55" s="8" t="s">
        <v>57</v>
      </c>
      <c r="AS55" s="8" t="s">
        <v>57</v>
      </c>
      <c r="AT55" s="8" t="s">
        <v>58</v>
      </c>
      <c r="AU55" s="8" t="s">
        <v>58</v>
      </c>
      <c r="AV55" s="8" t="s">
        <v>58</v>
      </c>
      <c r="AW55" s="8" t="s">
        <v>58</v>
      </c>
    </row>
    <row r="56" spans="1:49" ht="16.05" customHeight="1" x14ac:dyDescent="0.3">
      <c r="A56" s="8" t="s">
        <v>222</v>
      </c>
      <c r="B56" s="8" t="s">
        <v>223</v>
      </c>
      <c r="C56" s="9">
        <v>46136.099293981482</v>
      </c>
      <c r="D56" s="10" t="s">
        <v>224</v>
      </c>
      <c r="E56" s="8" t="s">
        <v>121</v>
      </c>
      <c r="F56" s="8">
        <v>17</v>
      </c>
      <c r="G56" s="8" t="s">
        <v>53</v>
      </c>
      <c r="H56" s="8" t="s">
        <v>54</v>
      </c>
      <c r="I56" s="8" t="s">
        <v>55</v>
      </c>
      <c r="J56" s="8" t="s">
        <v>53</v>
      </c>
      <c r="K56" s="8" t="s">
        <v>55</v>
      </c>
      <c r="L56" s="8" t="s">
        <v>54</v>
      </c>
      <c r="M56" s="8" t="s">
        <v>54</v>
      </c>
      <c r="N56" s="8" t="s">
        <v>54</v>
      </c>
      <c r="O56" s="8" t="s">
        <v>53</v>
      </c>
      <c r="P56" s="8" t="s">
        <v>54</v>
      </c>
      <c r="Q56" s="8" t="s">
        <v>53</v>
      </c>
      <c r="R56" s="8" t="s">
        <v>55</v>
      </c>
      <c r="S56" s="8" t="s">
        <v>55</v>
      </c>
      <c r="T56" s="8" t="s">
        <v>54</v>
      </c>
      <c r="U56" s="8" t="s">
        <v>54</v>
      </c>
      <c r="V56" s="8" t="s">
        <v>54</v>
      </c>
      <c r="W56" s="8" t="s">
        <v>53</v>
      </c>
      <c r="X56" s="8" t="s">
        <v>55</v>
      </c>
      <c r="Y56" s="8" t="s">
        <v>55</v>
      </c>
      <c r="Z56" s="8" t="s">
        <v>53</v>
      </c>
      <c r="AA56" s="8" t="s">
        <v>53</v>
      </c>
      <c r="AB56" s="8" t="s">
        <v>55</v>
      </c>
      <c r="AC56" s="8" t="s">
        <v>54</v>
      </c>
      <c r="AD56" s="8" t="s">
        <v>55</v>
      </c>
      <c r="AE56" s="8" t="s">
        <v>53</v>
      </c>
      <c r="AF56" s="8" t="s">
        <v>59</v>
      </c>
      <c r="AG56" s="8" t="s">
        <v>57</v>
      </c>
      <c r="AH56" s="8" t="s">
        <v>56</v>
      </c>
      <c r="AI56" s="8" t="s">
        <v>57</v>
      </c>
      <c r="AJ56" s="8" t="s">
        <v>57</v>
      </c>
      <c r="AK56" s="8" t="s">
        <v>58</v>
      </c>
      <c r="AL56" s="8" t="s">
        <v>57</v>
      </c>
      <c r="AM56" s="8" t="s">
        <v>59</v>
      </c>
      <c r="AN56" s="8" t="s">
        <v>59</v>
      </c>
      <c r="AO56" s="8" t="s">
        <v>59</v>
      </c>
      <c r="AP56" s="8" t="s">
        <v>63</v>
      </c>
      <c r="AQ56" s="8" t="s">
        <v>57</v>
      </c>
      <c r="AR56" s="8" t="s">
        <v>56</v>
      </c>
      <c r="AS56" s="8" t="s">
        <v>57</v>
      </c>
      <c r="AT56" s="8" t="s">
        <v>56</v>
      </c>
      <c r="AU56" s="8" t="s">
        <v>57</v>
      </c>
      <c r="AV56" s="8" t="s">
        <v>56</v>
      </c>
      <c r="AW56" s="8" t="s">
        <v>58</v>
      </c>
    </row>
    <row r="57" spans="1:49" ht="16.05" customHeight="1" x14ac:dyDescent="0.3">
      <c r="A57" s="8" t="s">
        <v>225</v>
      </c>
      <c r="B57" s="8" t="s">
        <v>226</v>
      </c>
      <c r="C57" s="9">
        <v>46136.099328703713</v>
      </c>
      <c r="D57" s="10" t="s">
        <v>227</v>
      </c>
      <c r="E57" s="8" t="s">
        <v>121</v>
      </c>
      <c r="F57" s="8">
        <v>17</v>
      </c>
      <c r="G57" s="8" t="s">
        <v>53</v>
      </c>
      <c r="H57" s="8" t="s">
        <v>54</v>
      </c>
      <c r="I57" s="8" t="s">
        <v>55</v>
      </c>
      <c r="J57" s="8" t="s">
        <v>53</v>
      </c>
      <c r="K57" s="8" t="s">
        <v>55</v>
      </c>
      <c r="L57" s="8" t="s">
        <v>55</v>
      </c>
      <c r="M57" s="8" t="s">
        <v>55</v>
      </c>
      <c r="N57" s="8" t="s">
        <v>55</v>
      </c>
      <c r="O57" s="8" t="s">
        <v>54</v>
      </c>
      <c r="P57" s="8" t="s">
        <v>55</v>
      </c>
      <c r="Q57" s="8" t="s">
        <v>54</v>
      </c>
      <c r="R57" s="8" t="s">
        <v>55</v>
      </c>
      <c r="S57" s="8" t="s">
        <v>55</v>
      </c>
      <c r="T57" s="8" t="s">
        <v>53</v>
      </c>
      <c r="U57" s="8" t="s">
        <v>55</v>
      </c>
      <c r="V57" s="8" t="s">
        <v>55</v>
      </c>
      <c r="W57" s="8" t="s">
        <v>53</v>
      </c>
      <c r="X57" s="8" t="s">
        <v>55</v>
      </c>
      <c r="Y57" s="8" t="s">
        <v>55</v>
      </c>
      <c r="Z57" s="8" t="s">
        <v>54</v>
      </c>
      <c r="AA57" s="8" t="s">
        <v>53</v>
      </c>
      <c r="AB57" s="8" t="s">
        <v>55</v>
      </c>
      <c r="AC57" s="8" t="s">
        <v>55</v>
      </c>
      <c r="AD57" s="8" t="s">
        <v>55</v>
      </c>
      <c r="AE57" s="8" t="s">
        <v>54</v>
      </c>
      <c r="AF57" s="8" t="s">
        <v>57</v>
      </c>
      <c r="AG57" s="8" t="s">
        <v>58</v>
      </c>
      <c r="AH57" s="8" t="s">
        <v>58</v>
      </c>
      <c r="AI57" s="8" t="s">
        <v>57</v>
      </c>
      <c r="AJ57" s="8" t="s">
        <v>63</v>
      </c>
      <c r="AK57" s="8" t="s">
        <v>63</v>
      </c>
      <c r="AL57" s="8" t="s">
        <v>58</v>
      </c>
      <c r="AM57" s="8" t="s">
        <v>58</v>
      </c>
      <c r="AN57" s="8" t="s">
        <v>63</v>
      </c>
      <c r="AO57" s="8" t="s">
        <v>57</v>
      </c>
      <c r="AP57" s="8" t="s">
        <v>58</v>
      </c>
      <c r="AQ57" s="8" t="s">
        <v>57</v>
      </c>
      <c r="AR57" s="8" t="s">
        <v>57</v>
      </c>
      <c r="AS57" s="8" t="s">
        <v>58</v>
      </c>
      <c r="AT57" s="8" t="s">
        <v>57</v>
      </c>
      <c r="AU57" s="8" t="s">
        <v>63</v>
      </c>
      <c r="AV57" s="8" t="s">
        <v>57</v>
      </c>
      <c r="AW57" s="8" t="s">
        <v>58</v>
      </c>
    </row>
    <row r="58" spans="1:49" ht="16.05" customHeight="1" x14ac:dyDescent="0.3">
      <c r="A58" s="8" t="s">
        <v>228</v>
      </c>
      <c r="B58" s="8" t="s">
        <v>229</v>
      </c>
      <c r="C58" s="9">
        <v>46136.099479166667</v>
      </c>
      <c r="D58" s="10" t="s">
        <v>230</v>
      </c>
      <c r="E58" s="8" t="s">
        <v>121</v>
      </c>
      <c r="F58" s="8">
        <v>17</v>
      </c>
      <c r="G58" s="8" t="s">
        <v>53</v>
      </c>
      <c r="H58" s="8" t="s">
        <v>53</v>
      </c>
      <c r="I58" s="8" t="s">
        <v>55</v>
      </c>
      <c r="J58" s="8" t="s">
        <v>53</v>
      </c>
      <c r="K58" s="8" t="s">
        <v>55</v>
      </c>
      <c r="L58" s="8" t="s">
        <v>54</v>
      </c>
      <c r="M58" s="8" t="s">
        <v>55</v>
      </c>
      <c r="N58" s="8" t="s">
        <v>54</v>
      </c>
      <c r="O58" s="8" t="s">
        <v>53</v>
      </c>
      <c r="P58" s="8" t="s">
        <v>54</v>
      </c>
      <c r="Q58" s="8" t="s">
        <v>53</v>
      </c>
      <c r="R58" s="8" t="s">
        <v>55</v>
      </c>
      <c r="S58" s="8" t="s">
        <v>55</v>
      </c>
      <c r="T58" s="8" t="s">
        <v>53</v>
      </c>
      <c r="U58" s="8" t="s">
        <v>53</v>
      </c>
      <c r="V58" s="8" t="s">
        <v>54</v>
      </c>
      <c r="W58" s="8" t="s">
        <v>53</v>
      </c>
      <c r="X58" s="8" t="s">
        <v>53</v>
      </c>
      <c r="Y58" s="8" t="s">
        <v>55</v>
      </c>
      <c r="Z58" s="8" t="s">
        <v>54</v>
      </c>
      <c r="AA58" s="8" t="s">
        <v>53</v>
      </c>
      <c r="AB58" s="8" t="s">
        <v>55</v>
      </c>
      <c r="AC58" s="8" t="s">
        <v>55</v>
      </c>
      <c r="AD58" s="8" t="s">
        <v>55</v>
      </c>
      <c r="AE58" s="8" t="s">
        <v>54</v>
      </c>
      <c r="AF58" s="8" t="s">
        <v>56</v>
      </c>
      <c r="AG58" s="8" t="s">
        <v>57</v>
      </c>
      <c r="AH58" s="8" t="s">
        <v>63</v>
      </c>
      <c r="AI58" s="8" t="s">
        <v>57</v>
      </c>
      <c r="AJ58" s="8" t="s">
        <v>58</v>
      </c>
      <c r="AK58" s="8" t="s">
        <v>63</v>
      </c>
      <c r="AL58" s="8" t="s">
        <v>57</v>
      </c>
      <c r="AM58" s="8" t="s">
        <v>59</v>
      </c>
      <c r="AN58" s="8" t="s">
        <v>58</v>
      </c>
      <c r="AO58" s="8" t="s">
        <v>63</v>
      </c>
      <c r="AP58" s="8" t="s">
        <v>63</v>
      </c>
      <c r="AQ58" s="8" t="s">
        <v>63</v>
      </c>
      <c r="AR58" s="8" t="s">
        <v>56</v>
      </c>
      <c r="AS58" s="8" t="s">
        <v>57</v>
      </c>
      <c r="AT58" s="8" t="s">
        <v>56</v>
      </c>
      <c r="AU58" s="8" t="s">
        <v>63</v>
      </c>
      <c r="AV58" s="8" t="s">
        <v>56</v>
      </c>
      <c r="AW58" s="8" t="s">
        <v>57</v>
      </c>
    </row>
    <row r="59" spans="1:49" ht="16.05" customHeight="1" x14ac:dyDescent="0.3">
      <c r="A59" s="8" t="s">
        <v>231</v>
      </c>
      <c r="B59" s="8" t="s">
        <v>232</v>
      </c>
      <c r="C59" s="9">
        <v>46136.099606481483</v>
      </c>
      <c r="D59" s="10" t="s">
        <v>233</v>
      </c>
      <c r="E59" s="9" t="s">
        <v>212</v>
      </c>
      <c r="F59" s="8">
        <v>16</v>
      </c>
      <c r="G59" s="8" t="s">
        <v>54</v>
      </c>
      <c r="H59" s="8" t="s">
        <v>54</v>
      </c>
      <c r="I59" s="8" t="s">
        <v>55</v>
      </c>
      <c r="J59" s="8" t="s">
        <v>55</v>
      </c>
      <c r="K59" s="8" t="s">
        <v>54</v>
      </c>
      <c r="L59" s="8" t="s">
        <v>54</v>
      </c>
      <c r="M59" s="8" t="s">
        <v>54</v>
      </c>
      <c r="N59" s="8" t="s">
        <v>54</v>
      </c>
      <c r="O59" s="8" t="s">
        <v>54</v>
      </c>
      <c r="P59" s="8" t="s">
        <v>54</v>
      </c>
      <c r="Q59" s="8" t="s">
        <v>54</v>
      </c>
      <c r="R59" s="8" t="s">
        <v>54</v>
      </c>
      <c r="S59" s="8" t="s">
        <v>54</v>
      </c>
      <c r="T59" s="8" t="s">
        <v>54</v>
      </c>
      <c r="U59" s="8" t="s">
        <v>54</v>
      </c>
      <c r="V59" s="8" t="s">
        <v>54</v>
      </c>
      <c r="W59" s="8" t="s">
        <v>54</v>
      </c>
      <c r="X59" s="8" t="s">
        <v>54</v>
      </c>
      <c r="Y59" s="8" t="s">
        <v>54</v>
      </c>
      <c r="Z59" s="8" t="s">
        <v>54</v>
      </c>
      <c r="AA59" s="8" t="s">
        <v>54</v>
      </c>
      <c r="AB59" s="8" t="s">
        <v>54</v>
      </c>
      <c r="AC59" s="8" t="s">
        <v>54</v>
      </c>
      <c r="AD59" s="8" t="s">
        <v>54</v>
      </c>
      <c r="AE59" s="8" t="s">
        <v>54</v>
      </c>
      <c r="AF59" s="8" t="s">
        <v>58</v>
      </c>
      <c r="AG59" s="8" t="s">
        <v>58</v>
      </c>
      <c r="AH59" s="8" t="s">
        <v>58</v>
      </c>
      <c r="AI59" s="8" t="s">
        <v>58</v>
      </c>
      <c r="AJ59" s="8" t="s">
        <v>58</v>
      </c>
      <c r="AK59" s="8" t="s">
        <v>58</v>
      </c>
      <c r="AL59" s="8" t="s">
        <v>58</v>
      </c>
      <c r="AM59" s="8" t="s">
        <v>58</v>
      </c>
      <c r="AN59" s="8" t="s">
        <v>58</v>
      </c>
      <c r="AO59" s="8" t="s">
        <v>58</v>
      </c>
      <c r="AP59" s="8" t="s">
        <v>58</v>
      </c>
      <c r="AQ59" s="8" t="s">
        <v>58</v>
      </c>
      <c r="AR59" s="8" t="s">
        <v>58</v>
      </c>
      <c r="AS59" s="8" t="s">
        <v>58</v>
      </c>
      <c r="AT59" s="8" t="s">
        <v>58</v>
      </c>
      <c r="AU59" s="8" t="s">
        <v>58</v>
      </c>
      <c r="AV59" s="8" t="s">
        <v>58</v>
      </c>
      <c r="AW59" s="8" t="s">
        <v>58</v>
      </c>
    </row>
    <row r="60" spans="1:49" ht="16.05" customHeight="1" x14ac:dyDescent="0.3">
      <c r="A60" s="8" t="s">
        <v>234</v>
      </c>
      <c r="B60" s="8" t="s">
        <v>235</v>
      </c>
      <c r="C60" s="9">
        <v>46136.099699074082</v>
      </c>
      <c r="D60" s="10" t="s">
        <v>236</v>
      </c>
      <c r="E60" s="8" t="s">
        <v>121</v>
      </c>
      <c r="F60" s="8">
        <v>17</v>
      </c>
      <c r="G60" s="8" t="s">
        <v>53</v>
      </c>
      <c r="H60" s="8" t="s">
        <v>55</v>
      </c>
      <c r="I60" s="8" t="s">
        <v>54</v>
      </c>
      <c r="J60" s="8" t="s">
        <v>55</v>
      </c>
      <c r="K60" s="8" t="s">
        <v>55</v>
      </c>
      <c r="L60" s="8" t="s">
        <v>54</v>
      </c>
      <c r="M60" s="8" t="s">
        <v>54</v>
      </c>
      <c r="N60" s="8" t="s">
        <v>55</v>
      </c>
      <c r="O60" s="8" t="s">
        <v>54</v>
      </c>
      <c r="P60" s="8" t="s">
        <v>55</v>
      </c>
      <c r="Q60" s="8" t="s">
        <v>53</v>
      </c>
      <c r="R60" s="8" t="s">
        <v>55</v>
      </c>
      <c r="S60" s="8" t="s">
        <v>55</v>
      </c>
      <c r="T60" s="8" t="s">
        <v>54</v>
      </c>
      <c r="U60" s="8" t="s">
        <v>55</v>
      </c>
      <c r="V60" s="8" t="s">
        <v>55</v>
      </c>
      <c r="W60" s="8" t="s">
        <v>53</v>
      </c>
      <c r="X60" s="8" t="s">
        <v>55</v>
      </c>
      <c r="Y60" s="8" t="s">
        <v>55</v>
      </c>
      <c r="Z60" s="8" t="s">
        <v>54</v>
      </c>
      <c r="AA60" s="8" t="s">
        <v>53</v>
      </c>
      <c r="AB60" s="8" t="s">
        <v>55</v>
      </c>
      <c r="AC60" s="8" t="s">
        <v>54</v>
      </c>
      <c r="AD60" s="8" t="s">
        <v>55</v>
      </c>
      <c r="AE60" s="8" t="s">
        <v>53</v>
      </c>
      <c r="AF60" s="8" t="s">
        <v>57</v>
      </c>
      <c r="AG60" s="8" t="s">
        <v>57</v>
      </c>
      <c r="AH60" s="8" t="s">
        <v>58</v>
      </c>
      <c r="AI60" s="8" t="s">
        <v>63</v>
      </c>
      <c r="AJ60" s="8" t="s">
        <v>63</v>
      </c>
      <c r="AK60" s="8" t="s">
        <v>58</v>
      </c>
      <c r="AL60" s="8" t="s">
        <v>58</v>
      </c>
      <c r="AM60" s="8" t="s">
        <v>63</v>
      </c>
      <c r="AN60" s="8" t="s">
        <v>63</v>
      </c>
      <c r="AO60" s="8" t="s">
        <v>57</v>
      </c>
      <c r="AP60" s="8" t="s">
        <v>63</v>
      </c>
      <c r="AQ60" s="8" t="s">
        <v>63</v>
      </c>
      <c r="AR60" s="8" t="s">
        <v>63</v>
      </c>
      <c r="AS60" s="8" t="s">
        <v>63</v>
      </c>
      <c r="AT60" s="8" t="s">
        <v>58</v>
      </c>
      <c r="AU60" s="8" t="s">
        <v>58</v>
      </c>
      <c r="AV60" s="8" t="s">
        <v>58</v>
      </c>
      <c r="AW60" s="8" t="s">
        <v>57</v>
      </c>
    </row>
    <row r="61" spans="1:49" ht="16.05" customHeight="1" x14ac:dyDescent="0.3">
      <c r="A61" s="8" t="s">
        <v>237</v>
      </c>
      <c r="B61" s="8" t="s">
        <v>238</v>
      </c>
      <c r="C61" s="9">
        <v>46136.099849537037</v>
      </c>
      <c r="D61" s="10" t="s">
        <v>239</v>
      </c>
      <c r="E61" s="8" t="s">
        <v>212</v>
      </c>
      <c r="F61" s="8">
        <v>16</v>
      </c>
      <c r="G61" s="8" t="s">
        <v>53</v>
      </c>
      <c r="H61" s="8" t="s">
        <v>54</v>
      </c>
      <c r="I61" s="8" t="s">
        <v>53</v>
      </c>
      <c r="J61" s="8" t="s">
        <v>53</v>
      </c>
      <c r="K61" s="8" t="s">
        <v>53</v>
      </c>
      <c r="L61" s="8" t="s">
        <v>53</v>
      </c>
      <c r="M61" s="8" t="s">
        <v>53</v>
      </c>
      <c r="N61" s="8" t="s">
        <v>54</v>
      </c>
      <c r="O61" s="8" t="s">
        <v>53</v>
      </c>
      <c r="P61" s="8" t="s">
        <v>54</v>
      </c>
      <c r="Q61" s="8" t="s">
        <v>53</v>
      </c>
      <c r="R61" s="8" t="s">
        <v>53</v>
      </c>
      <c r="S61" s="8" t="s">
        <v>53</v>
      </c>
      <c r="T61" s="8" t="s">
        <v>53</v>
      </c>
      <c r="U61" s="8" t="s">
        <v>53</v>
      </c>
      <c r="V61" s="8" t="s">
        <v>53</v>
      </c>
      <c r="W61" s="8" t="s">
        <v>54</v>
      </c>
      <c r="X61" s="8" t="s">
        <v>53</v>
      </c>
      <c r="Y61" s="8" t="s">
        <v>54</v>
      </c>
      <c r="Z61" s="8" t="s">
        <v>54</v>
      </c>
      <c r="AA61" s="8" t="s">
        <v>53</v>
      </c>
      <c r="AB61" s="8" t="s">
        <v>54</v>
      </c>
      <c r="AC61" s="8" t="s">
        <v>53</v>
      </c>
      <c r="AD61" s="8" t="s">
        <v>54</v>
      </c>
      <c r="AE61" s="8" t="s">
        <v>53</v>
      </c>
      <c r="AF61" s="8" t="s">
        <v>57</v>
      </c>
      <c r="AG61" s="8" t="s">
        <v>59</v>
      </c>
      <c r="AH61" s="8" t="s">
        <v>56</v>
      </c>
      <c r="AI61" s="8" t="s">
        <v>59</v>
      </c>
      <c r="AJ61" s="8" t="s">
        <v>56</v>
      </c>
      <c r="AK61" s="8" t="s">
        <v>59</v>
      </c>
      <c r="AL61" s="8" t="s">
        <v>57</v>
      </c>
      <c r="AM61" s="8" t="s">
        <v>59</v>
      </c>
      <c r="AN61" s="8" t="s">
        <v>56</v>
      </c>
      <c r="AO61" s="8" t="s">
        <v>57</v>
      </c>
      <c r="AP61" s="8" t="s">
        <v>59</v>
      </c>
      <c r="AQ61" s="8" t="s">
        <v>59</v>
      </c>
      <c r="AR61" s="8" t="s">
        <v>59</v>
      </c>
      <c r="AS61" s="8" t="s">
        <v>56</v>
      </c>
      <c r="AT61" s="8" t="s">
        <v>59</v>
      </c>
      <c r="AU61" s="8" t="s">
        <v>56</v>
      </c>
      <c r="AV61" s="8" t="s">
        <v>59</v>
      </c>
      <c r="AW61" s="8" t="s">
        <v>57</v>
      </c>
    </row>
    <row r="62" spans="1:49" ht="16.05" customHeight="1" x14ac:dyDescent="0.3">
      <c r="A62" s="8" t="s">
        <v>240</v>
      </c>
      <c r="B62" s="8" t="s">
        <v>241</v>
      </c>
      <c r="C62" s="9">
        <v>46136.099953703713</v>
      </c>
      <c r="D62" s="10" t="s">
        <v>242</v>
      </c>
      <c r="E62" s="8" t="s">
        <v>121</v>
      </c>
      <c r="F62" s="8">
        <v>17</v>
      </c>
      <c r="G62" s="8" t="s">
        <v>53</v>
      </c>
      <c r="H62" s="8" t="s">
        <v>54</v>
      </c>
      <c r="I62" s="8" t="s">
        <v>55</v>
      </c>
      <c r="J62" s="8" t="s">
        <v>53</v>
      </c>
      <c r="K62" s="8" t="s">
        <v>55</v>
      </c>
      <c r="L62" s="8" t="s">
        <v>55</v>
      </c>
      <c r="M62" s="8" t="s">
        <v>55</v>
      </c>
      <c r="N62" s="8" t="s">
        <v>55</v>
      </c>
      <c r="O62" s="8" t="s">
        <v>53</v>
      </c>
      <c r="P62" s="8" t="s">
        <v>55</v>
      </c>
      <c r="Q62" s="8" t="s">
        <v>53</v>
      </c>
      <c r="R62" s="8" t="s">
        <v>55</v>
      </c>
      <c r="S62" s="8" t="s">
        <v>55</v>
      </c>
      <c r="T62" s="8" t="s">
        <v>53</v>
      </c>
      <c r="U62" s="8" t="s">
        <v>55</v>
      </c>
      <c r="V62" s="8" t="s">
        <v>55</v>
      </c>
      <c r="W62" s="8" t="s">
        <v>53</v>
      </c>
      <c r="X62" s="8" t="s">
        <v>55</v>
      </c>
      <c r="Y62" s="8" t="s">
        <v>55</v>
      </c>
      <c r="Z62" s="8" t="s">
        <v>54</v>
      </c>
      <c r="AA62" s="8" t="s">
        <v>53</v>
      </c>
      <c r="AB62" s="8" t="s">
        <v>55</v>
      </c>
      <c r="AC62" s="8" t="s">
        <v>55</v>
      </c>
      <c r="AD62" s="8" t="s">
        <v>55</v>
      </c>
      <c r="AE62" s="8" t="s">
        <v>53</v>
      </c>
      <c r="AF62" s="8" t="s">
        <v>57</v>
      </c>
      <c r="AG62" s="8" t="s">
        <v>58</v>
      </c>
      <c r="AH62" s="8" t="s">
        <v>58</v>
      </c>
      <c r="AI62" s="8" t="s">
        <v>58</v>
      </c>
      <c r="AJ62" s="8" t="s">
        <v>58</v>
      </c>
      <c r="AK62" s="8" t="s">
        <v>58</v>
      </c>
      <c r="AL62" s="8" t="s">
        <v>58</v>
      </c>
      <c r="AM62" s="8" t="s">
        <v>57</v>
      </c>
      <c r="AN62" s="8" t="s">
        <v>58</v>
      </c>
      <c r="AO62" s="8" t="s">
        <v>58</v>
      </c>
      <c r="AP62" s="8" t="s">
        <v>58</v>
      </c>
      <c r="AQ62" s="8" t="s">
        <v>58</v>
      </c>
      <c r="AR62" s="8" t="s">
        <v>58</v>
      </c>
      <c r="AS62" s="8" t="s">
        <v>58</v>
      </c>
      <c r="AT62" s="8" t="s">
        <v>57</v>
      </c>
      <c r="AU62" s="8" t="s">
        <v>63</v>
      </c>
      <c r="AV62" s="8" t="s">
        <v>63</v>
      </c>
      <c r="AW62" s="8" t="s">
        <v>58</v>
      </c>
    </row>
    <row r="63" spans="1:49" ht="16.05" customHeight="1" x14ac:dyDescent="0.3">
      <c r="A63" s="8" t="s">
        <v>243</v>
      </c>
      <c r="B63" s="8" t="s">
        <v>244</v>
      </c>
      <c r="C63" s="9">
        <v>46136.100011574083</v>
      </c>
      <c r="D63" s="10" t="s">
        <v>245</v>
      </c>
      <c r="E63" s="8" t="s">
        <v>212</v>
      </c>
      <c r="F63" s="8">
        <v>17</v>
      </c>
      <c r="G63" s="8" t="s">
        <v>53</v>
      </c>
      <c r="H63" s="8" t="s">
        <v>55</v>
      </c>
      <c r="I63" s="8" t="s">
        <v>55</v>
      </c>
      <c r="J63" s="8" t="s">
        <v>53</v>
      </c>
      <c r="K63" s="8" t="s">
        <v>55</v>
      </c>
      <c r="L63" s="8" t="s">
        <v>55</v>
      </c>
      <c r="M63" s="8" t="s">
        <v>55</v>
      </c>
      <c r="N63" s="8" t="s">
        <v>54</v>
      </c>
      <c r="O63" s="8" t="s">
        <v>53</v>
      </c>
      <c r="P63" s="8" t="s">
        <v>54</v>
      </c>
      <c r="Q63" s="8" t="s">
        <v>53</v>
      </c>
      <c r="R63" s="8" t="s">
        <v>55</v>
      </c>
      <c r="S63" s="8" t="s">
        <v>55</v>
      </c>
      <c r="T63" s="8" t="s">
        <v>54</v>
      </c>
      <c r="U63" s="8" t="s">
        <v>54</v>
      </c>
      <c r="V63" s="8" t="s">
        <v>55</v>
      </c>
      <c r="W63" s="8" t="s">
        <v>53</v>
      </c>
      <c r="X63" s="8" t="s">
        <v>53</v>
      </c>
      <c r="Y63" s="8" t="s">
        <v>55</v>
      </c>
      <c r="Z63" s="8" t="s">
        <v>53</v>
      </c>
      <c r="AA63" s="8" t="s">
        <v>53</v>
      </c>
      <c r="AB63" s="8" t="s">
        <v>55</v>
      </c>
      <c r="AC63" s="8" t="s">
        <v>55</v>
      </c>
      <c r="AD63" s="8" t="s">
        <v>54</v>
      </c>
      <c r="AE63" s="8" t="s">
        <v>53</v>
      </c>
      <c r="AF63" s="8" t="s">
        <v>57</v>
      </c>
      <c r="AG63" s="8" t="s">
        <v>58</v>
      </c>
      <c r="AH63" s="8" t="s">
        <v>57</v>
      </c>
      <c r="AI63" s="8" t="s">
        <v>63</v>
      </c>
      <c r="AJ63" s="8" t="s">
        <v>63</v>
      </c>
      <c r="AK63" s="8" t="s">
        <v>63</v>
      </c>
      <c r="AL63" s="8" t="s">
        <v>58</v>
      </c>
      <c r="AM63" s="8" t="s">
        <v>56</v>
      </c>
      <c r="AN63" s="8" t="s">
        <v>58</v>
      </c>
      <c r="AO63" s="8" t="s">
        <v>56</v>
      </c>
      <c r="AP63" s="8" t="s">
        <v>58</v>
      </c>
      <c r="AQ63" s="8" t="s">
        <v>56</v>
      </c>
      <c r="AR63" s="8" t="s">
        <v>58</v>
      </c>
      <c r="AS63" s="8" t="s">
        <v>57</v>
      </c>
      <c r="AT63" s="8" t="s">
        <v>57</v>
      </c>
      <c r="AU63" s="8" t="s">
        <v>58</v>
      </c>
      <c r="AV63" s="8" t="s">
        <v>63</v>
      </c>
      <c r="AW63" s="8" t="s">
        <v>63</v>
      </c>
    </row>
    <row r="64" spans="1:49" ht="16.05" customHeight="1" x14ac:dyDescent="0.3">
      <c r="A64" s="8" t="s">
        <v>246</v>
      </c>
      <c r="B64" s="8" t="s">
        <v>247</v>
      </c>
      <c r="C64" s="9">
        <v>46136.100046296298</v>
      </c>
      <c r="D64" s="10" t="s">
        <v>248</v>
      </c>
      <c r="E64" s="8" t="s">
        <v>121</v>
      </c>
      <c r="F64" s="8">
        <v>17</v>
      </c>
      <c r="G64" s="8" t="s">
        <v>53</v>
      </c>
      <c r="H64" s="8" t="s">
        <v>54</v>
      </c>
      <c r="I64" s="8" t="s">
        <v>54</v>
      </c>
      <c r="J64" s="8" t="s">
        <v>53</v>
      </c>
      <c r="K64" s="8" t="s">
        <v>54</v>
      </c>
      <c r="L64" s="8" t="s">
        <v>55</v>
      </c>
      <c r="M64" s="8" t="s">
        <v>54</v>
      </c>
      <c r="N64" s="8" t="s">
        <v>53</v>
      </c>
      <c r="O64" s="8" t="s">
        <v>53</v>
      </c>
      <c r="P64" s="8" t="s">
        <v>53</v>
      </c>
      <c r="Q64" s="8" t="s">
        <v>53</v>
      </c>
      <c r="R64" s="8" t="s">
        <v>55</v>
      </c>
      <c r="S64" s="8" t="s">
        <v>54</v>
      </c>
      <c r="T64" s="8" t="s">
        <v>55</v>
      </c>
      <c r="U64" s="8" t="s">
        <v>53</v>
      </c>
      <c r="V64" s="8" t="s">
        <v>54</v>
      </c>
      <c r="W64" s="8" t="s">
        <v>53</v>
      </c>
      <c r="X64" s="8" t="s">
        <v>55</v>
      </c>
      <c r="Y64" s="8" t="s">
        <v>55</v>
      </c>
      <c r="Z64" s="8" t="s">
        <v>53</v>
      </c>
      <c r="AA64" s="8" t="s">
        <v>53</v>
      </c>
      <c r="AB64" s="8" t="s">
        <v>55</v>
      </c>
      <c r="AC64" s="8" t="s">
        <v>55</v>
      </c>
      <c r="AD64" s="8" t="s">
        <v>54</v>
      </c>
      <c r="AE64" s="8" t="s">
        <v>54</v>
      </c>
      <c r="AF64" s="8" t="s">
        <v>57</v>
      </c>
      <c r="AG64" s="8" t="s">
        <v>58</v>
      </c>
      <c r="AH64" s="8" t="s">
        <v>58</v>
      </c>
      <c r="AI64" s="8" t="s">
        <v>57</v>
      </c>
      <c r="AJ64" s="8" t="s">
        <v>58</v>
      </c>
      <c r="AK64" s="8" t="s">
        <v>58</v>
      </c>
      <c r="AL64" s="8" t="s">
        <v>57</v>
      </c>
      <c r="AM64" s="8" t="s">
        <v>63</v>
      </c>
      <c r="AN64" s="8" t="s">
        <v>58</v>
      </c>
      <c r="AO64" s="8" t="s">
        <v>57</v>
      </c>
      <c r="AP64" s="8" t="s">
        <v>58</v>
      </c>
      <c r="AQ64" s="8" t="s">
        <v>57</v>
      </c>
      <c r="AR64" s="8" t="s">
        <v>57</v>
      </c>
      <c r="AS64" s="8" t="s">
        <v>58</v>
      </c>
      <c r="AT64" s="8" t="s">
        <v>58</v>
      </c>
      <c r="AU64" s="8" t="s">
        <v>58</v>
      </c>
      <c r="AV64" s="8" t="s">
        <v>57</v>
      </c>
      <c r="AW64" s="8" t="s">
        <v>56</v>
      </c>
    </row>
    <row r="65" spans="1:49" ht="16.05" customHeight="1" x14ac:dyDescent="0.3">
      <c r="A65" s="8" t="s">
        <v>249</v>
      </c>
      <c r="B65" s="8" t="s">
        <v>250</v>
      </c>
      <c r="C65" s="9">
        <v>46136.100115740737</v>
      </c>
      <c r="D65" s="10" t="s">
        <v>251</v>
      </c>
      <c r="E65" s="8" t="s">
        <v>121</v>
      </c>
      <c r="F65" s="8">
        <v>17</v>
      </c>
      <c r="G65" s="8" t="s">
        <v>53</v>
      </c>
      <c r="H65" s="8" t="s">
        <v>55</v>
      </c>
      <c r="I65" s="8" t="s">
        <v>54</v>
      </c>
      <c r="J65" s="8" t="s">
        <v>53</v>
      </c>
      <c r="K65" s="8" t="s">
        <v>55</v>
      </c>
      <c r="L65" s="8" t="s">
        <v>54</v>
      </c>
      <c r="M65" s="8" t="s">
        <v>54</v>
      </c>
      <c r="N65" s="8" t="s">
        <v>54</v>
      </c>
      <c r="O65" s="8" t="s">
        <v>53</v>
      </c>
      <c r="P65" s="8" t="s">
        <v>54</v>
      </c>
      <c r="Q65" s="8" t="s">
        <v>53</v>
      </c>
      <c r="R65" s="8" t="s">
        <v>55</v>
      </c>
      <c r="S65" s="8" t="s">
        <v>54</v>
      </c>
      <c r="T65" s="8" t="s">
        <v>54</v>
      </c>
      <c r="U65" s="8" t="s">
        <v>53</v>
      </c>
      <c r="V65" s="8" t="s">
        <v>53</v>
      </c>
      <c r="W65" s="8" t="s">
        <v>53</v>
      </c>
      <c r="X65" s="8" t="s">
        <v>55</v>
      </c>
      <c r="Y65" s="8" t="s">
        <v>55</v>
      </c>
      <c r="Z65" s="8" t="s">
        <v>54</v>
      </c>
      <c r="AA65" s="8" t="s">
        <v>53</v>
      </c>
      <c r="AB65" s="8" t="s">
        <v>55</v>
      </c>
      <c r="AC65" s="8" t="s">
        <v>54</v>
      </c>
      <c r="AD65" s="8" t="s">
        <v>53</v>
      </c>
      <c r="AE65" s="8" t="s">
        <v>54</v>
      </c>
      <c r="AF65" s="8" t="s">
        <v>59</v>
      </c>
      <c r="AG65" s="8" t="s">
        <v>57</v>
      </c>
      <c r="AH65" s="8" t="s">
        <v>56</v>
      </c>
      <c r="AI65" s="8" t="s">
        <v>57</v>
      </c>
      <c r="AJ65" s="8" t="s">
        <v>57</v>
      </c>
      <c r="AK65" s="8" t="s">
        <v>63</v>
      </c>
      <c r="AL65" s="8" t="s">
        <v>63</v>
      </c>
      <c r="AM65" s="8" t="s">
        <v>57</v>
      </c>
      <c r="AN65" s="8" t="s">
        <v>58</v>
      </c>
      <c r="AO65" s="8" t="s">
        <v>58</v>
      </c>
      <c r="AP65" s="8" t="s">
        <v>57</v>
      </c>
      <c r="AQ65" s="8" t="s">
        <v>57</v>
      </c>
      <c r="AR65" s="8" t="s">
        <v>57</v>
      </c>
      <c r="AS65" s="8" t="s">
        <v>57</v>
      </c>
      <c r="AT65" s="8" t="s">
        <v>56</v>
      </c>
      <c r="AU65" s="8" t="s">
        <v>57</v>
      </c>
      <c r="AV65" s="8" t="s">
        <v>57</v>
      </c>
      <c r="AW65" s="8" t="s">
        <v>63</v>
      </c>
    </row>
    <row r="66" spans="1:49" ht="16.05" customHeight="1" x14ac:dyDescent="0.3">
      <c r="A66" s="8" t="s">
        <v>252</v>
      </c>
      <c r="B66" s="8" t="s">
        <v>253</v>
      </c>
      <c r="C66" s="9">
        <v>46136.100162037037</v>
      </c>
      <c r="D66" s="10" t="s">
        <v>254</v>
      </c>
      <c r="E66" s="9" t="s">
        <v>212</v>
      </c>
      <c r="F66" s="8">
        <v>16</v>
      </c>
      <c r="G66" s="8" t="s">
        <v>53</v>
      </c>
      <c r="H66" s="8" t="s">
        <v>53</v>
      </c>
      <c r="I66" s="8" t="s">
        <v>55</v>
      </c>
      <c r="J66" s="8" t="s">
        <v>53</v>
      </c>
      <c r="K66" s="8" t="s">
        <v>53</v>
      </c>
      <c r="L66" s="8" t="s">
        <v>55</v>
      </c>
      <c r="M66" s="8" t="s">
        <v>54</v>
      </c>
      <c r="N66" s="8" t="s">
        <v>53</v>
      </c>
      <c r="O66" s="8" t="s">
        <v>55</v>
      </c>
      <c r="P66" s="8" t="s">
        <v>55</v>
      </c>
      <c r="Q66" s="8" t="s">
        <v>55</v>
      </c>
      <c r="R66" s="8" t="s">
        <v>54</v>
      </c>
      <c r="S66" s="8" t="s">
        <v>54</v>
      </c>
      <c r="T66" s="8" t="s">
        <v>53</v>
      </c>
      <c r="U66" s="8" t="s">
        <v>54</v>
      </c>
      <c r="V66" s="8" t="s">
        <v>53</v>
      </c>
      <c r="W66" s="8" t="s">
        <v>54</v>
      </c>
      <c r="X66" s="8" t="s">
        <v>55</v>
      </c>
      <c r="Y66" s="8" t="s">
        <v>55</v>
      </c>
      <c r="Z66" s="8" t="s">
        <v>55</v>
      </c>
      <c r="AA66" s="8" t="s">
        <v>54</v>
      </c>
      <c r="AB66" s="8" t="s">
        <v>54</v>
      </c>
      <c r="AC66" s="8" t="s">
        <v>54</v>
      </c>
      <c r="AD66" s="8" t="s">
        <v>53</v>
      </c>
      <c r="AE66" s="8" t="s">
        <v>53</v>
      </c>
      <c r="AF66" s="8" t="s">
        <v>63</v>
      </c>
      <c r="AG66" s="8" t="s">
        <v>63</v>
      </c>
      <c r="AH66" s="8" t="s">
        <v>63</v>
      </c>
      <c r="AI66" s="8" t="s">
        <v>57</v>
      </c>
      <c r="AJ66" s="8" t="s">
        <v>63</v>
      </c>
      <c r="AK66" s="8" t="s">
        <v>63</v>
      </c>
      <c r="AL66" s="8" t="s">
        <v>63</v>
      </c>
      <c r="AM66" s="8" t="s">
        <v>63</v>
      </c>
      <c r="AN66" s="8" t="s">
        <v>63</v>
      </c>
      <c r="AO66" s="8" t="s">
        <v>56</v>
      </c>
      <c r="AP66" s="8" t="s">
        <v>57</v>
      </c>
      <c r="AQ66" s="8" t="s">
        <v>56</v>
      </c>
      <c r="AR66" s="8" t="s">
        <v>57</v>
      </c>
      <c r="AS66" s="8" t="s">
        <v>63</v>
      </c>
      <c r="AT66" s="8" t="s">
        <v>59</v>
      </c>
      <c r="AU66" s="8" t="s">
        <v>63</v>
      </c>
      <c r="AV66" s="8" t="s">
        <v>57</v>
      </c>
      <c r="AW66" s="8" t="s">
        <v>57</v>
      </c>
    </row>
    <row r="67" spans="1:49" ht="16.05" customHeight="1" x14ac:dyDescent="0.3">
      <c r="A67" s="8" t="s">
        <v>255</v>
      </c>
      <c r="B67" s="8" t="s">
        <v>256</v>
      </c>
      <c r="C67" s="9">
        <v>46136.100474537037</v>
      </c>
      <c r="D67" s="10" t="s">
        <v>257</v>
      </c>
      <c r="E67" s="8" t="s">
        <v>121</v>
      </c>
      <c r="F67" s="8">
        <v>16</v>
      </c>
      <c r="G67" s="8" t="s">
        <v>53</v>
      </c>
      <c r="H67" s="8" t="s">
        <v>53</v>
      </c>
      <c r="I67" s="8" t="s">
        <v>53</v>
      </c>
      <c r="J67" s="8" t="s">
        <v>54</v>
      </c>
      <c r="K67" s="8" t="s">
        <v>53</v>
      </c>
      <c r="L67" s="8" t="s">
        <v>54</v>
      </c>
      <c r="M67" s="8" t="s">
        <v>54</v>
      </c>
      <c r="N67" s="8" t="s">
        <v>54</v>
      </c>
      <c r="O67" s="8" t="s">
        <v>54</v>
      </c>
      <c r="P67" s="8" t="s">
        <v>54</v>
      </c>
      <c r="Q67" s="8" t="s">
        <v>53</v>
      </c>
      <c r="R67" s="8" t="s">
        <v>55</v>
      </c>
      <c r="S67" s="8" t="s">
        <v>54</v>
      </c>
      <c r="T67" s="8" t="s">
        <v>54</v>
      </c>
      <c r="U67" s="8" t="s">
        <v>54</v>
      </c>
      <c r="V67" s="8" t="s">
        <v>54</v>
      </c>
      <c r="W67" s="8" t="s">
        <v>53</v>
      </c>
      <c r="X67" s="8" t="s">
        <v>55</v>
      </c>
      <c r="Y67" s="8" t="s">
        <v>55</v>
      </c>
      <c r="Z67" s="8" t="s">
        <v>54</v>
      </c>
      <c r="AA67" s="8" t="s">
        <v>54</v>
      </c>
      <c r="AB67" s="8" t="s">
        <v>55</v>
      </c>
      <c r="AC67" s="8" t="s">
        <v>55</v>
      </c>
      <c r="AD67" s="8" t="s">
        <v>54</v>
      </c>
      <c r="AE67" s="8" t="s">
        <v>54</v>
      </c>
      <c r="AF67" s="8" t="s">
        <v>56</v>
      </c>
      <c r="AG67" s="8" t="s">
        <v>58</v>
      </c>
      <c r="AH67" s="8" t="s">
        <v>58</v>
      </c>
      <c r="AI67" s="8" t="s">
        <v>57</v>
      </c>
      <c r="AJ67" s="8" t="s">
        <v>57</v>
      </c>
      <c r="AK67" s="8" t="s">
        <v>57</v>
      </c>
      <c r="AL67" s="8" t="s">
        <v>58</v>
      </c>
      <c r="AM67" s="8" t="s">
        <v>57</v>
      </c>
      <c r="AN67" s="8" t="s">
        <v>56</v>
      </c>
      <c r="AO67" s="8" t="s">
        <v>57</v>
      </c>
      <c r="AP67" s="8" t="s">
        <v>57</v>
      </c>
      <c r="AQ67" s="8" t="s">
        <v>57</v>
      </c>
      <c r="AR67" s="8" t="s">
        <v>57</v>
      </c>
      <c r="AS67" s="8" t="s">
        <v>58</v>
      </c>
      <c r="AT67" s="8" t="s">
        <v>57</v>
      </c>
      <c r="AU67" s="8" t="s">
        <v>57</v>
      </c>
      <c r="AV67" s="8" t="s">
        <v>57</v>
      </c>
      <c r="AW67" s="8" t="s">
        <v>58</v>
      </c>
    </row>
    <row r="68" spans="1:49" ht="16.05" customHeight="1" x14ac:dyDescent="0.3">
      <c r="A68" s="8" t="s">
        <v>258</v>
      </c>
      <c r="B68" s="8" t="s">
        <v>259</v>
      </c>
      <c r="C68" s="9">
        <v>46136.100648148153</v>
      </c>
      <c r="D68" s="10" t="s">
        <v>260</v>
      </c>
      <c r="E68" s="8" t="s">
        <v>121</v>
      </c>
      <c r="F68" s="8">
        <v>17</v>
      </c>
      <c r="G68" s="8" t="s">
        <v>53</v>
      </c>
      <c r="H68" s="8" t="s">
        <v>54</v>
      </c>
      <c r="I68" s="8" t="s">
        <v>53</v>
      </c>
      <c r="J68" s="8" t="s">
        <v>54</v>
      </c>
      <c r="K68" s="8" t="s">
        <v>54</v>
      </c>
      <c r="L68" s="8" t="s">
        <v>54</v>
      </c>
      <c r="M68" s="8" t="s">
        <v>54</v>
      </c>
      <c r="N68" s="8" t="s">
        <v>55</v>
      </c>
      <c r="O68" s="8" t="s">
        <v>54</v>
      </c>
      <c r="P68" s="8" t="s">
        <v>55</v>
      </c>
      <c r="Q68" s="8" t="s">
        <v>55</v>
      </c>
      <c r="R68" s="8" t="s">
        <v>55</v>
      </c>
      <c r="S68" s="8" t="s">
        <v>54</v>
      </c>
      <c r="T68" s="8" t="s">
        <v>54</v>
      </c>
      <c r="U68" s="8" t="s">
        <v>54</v>
      </c>
      <c r="V68" s="8" t="s">
        <v>55</v>
      </c>
      <c r="W68" s="8" t="s">
        <v>53</v>
      </c>
      <c r="X68" s="8" t="s">
        <v>55</v>
      </c>
      <c r="Y68" s="8" t="s">
        <v>53</v>
      </c>
      <c r="Z68" s="8" t="s">
        <v>54</v>
      </c>
      <c r="AA68" s="8" t="s">
        <v>53</v>
      </c>
      <c r="AB68" s="8" t="s">
        <v>55</v>
      </c>
      <c r="AC68" s="8" t="s">
        <v>55</v>
      </c>
      <c r="AD68" s="8" t="s">
        <v>53</v>
      </c>
      <c r="AE68" s="8" t="s">
        <v>54</v>
      </c>
      <c r="AF68" s="8" t="s">
        <v>57</v>
      </c>
      <c r="AG68" s="8" t="s">
        <v>58</v>
      </c>
      <c r="AH68" s="8" t="s">
        <v>58</v>
      </c>
      <c r="AI68" s="8" t="s">
        <v>63</v>
      </c>
      <c r="AJ68" s="8" t="s">
        <v>63</v>
      </c>
      <c r="AK68" s="8" t="s">
        <v>63</v>
      </c>
      <c r="AL68" s="8" t="s">
        <v>58</v>
      </c>
      <c r="AM68" s="8" t="s">
        <v>58</v>
      </c>
      <c r="AN68" s="8" t="s">
        <v>63</v>
      </c>
      <c r="AO68" s="8" t="s">
        <v>63</v>
      </c>
      <c r="AP68" s="8" t="s">
        <v>57</v>
      </c>
      <c r="AQ68" s="8" t="s">
        <v>57</v>
      </c>
      <c r="AR68" s="8" t="s">
        <v>57</v>
      </c>
      <c r="AS68" s="8" t="s">
        <v>58</v>
      </c>
      <c r="AT68" s="8" t="s">
        <v>58</v>
      </c>
      <c r="AU68" s="8" t="s">
        <v>63</v>
      </c>
      <c r="AV68" s="8" t="s">
        <v>58</v>
      </c>
      <c r="AW68" s="8" t="s">
        <v>56</v>
      </c>
    </row>
    <row r="69" spans="1:49" ht="16.05" customHeight="1" x14ac:dyDescent="0.3">
      <c r="A69" s="8" t="s">
        <v>261</v>
      </c>
      <c r="B69" s="8" t="s">
        <v>262</v>
      </c>
      <c r="C69" s="9">
        <v>46136.100729166668</v>
      </c>
      <c r="D69" s="10" t="s">
        <v>263</v>
      </c>
      <c r="E69" s="8" t="s">
        <v>212</v>
      </c>
      <c r="F69" s="8">
        <v>17</v>
      </c>
      <c r="G69" s="8" t="s">
        <v>53</v>
      </c>
      <c r="H69" s="8" t="s">
        <v>54</v>
      </c>
      <c r="I69" s="8" t="s">
        <v>54</v>
      </c>
      <c r="J69" s="8" t="s">
        <v>53</v>
      </c>
      <c r="K69" s="8" t="s">
        <v>55</v>
      </c>
      <c r="L69" s="8" t="s">
        <v>55</v>
      </c>
      <c r="M69" s="8" t="s">
        <v>54</v>
      </c>
      <c r="N69" s="8" t="s">
        <v>54</v>
      </c>
      <c r="O69" s="8" t="s">
        <v>53</v>
      </c>
      <c r="P69" s="8" t="s">
        <v>53</v>
      </c>
      <c r="Q69" s="8" t="s">
        <v>53</v>
      </c>
      <c r="R69" s="8" t="s">
        <v>55</v>
      </c>
      <c r="S69" s="8" t="s">
        <v>55</v>
      </c>
      <c r="T69" s="8" t="s">
        <v>54</v>
      </c>
      <c r="U69" s="8" t="s">
        <v>54</v>
      </c>
      <c r="V69" s="8" t="s">
        <v>53</v>
      </c>
      <c r="W69" s="8" t="s">
        <v>53</v>
      </c>
      <c r="X69" s="8" t="s">
        <v>55</v>
      </c>
      <c r="Y69" s="8" t="s">
        <v>55</v>
      </c>
      <c r="Z69" s="8" t="s">
        <v>53</v>
      </c>
      <c r="AA69" s="8" t="s">
        <v>53</v>
      </c>
      <c r="AB69" s="8" t="s">
        <v>55</v>
      </c>
      <c r="AC69" s="8" t="s">
        <v>55</v>
      </c>
      <c r="AD69" s="8" t="s">
        <v>54</v>
      </c>
      <c r="AE69" s="8" t="s">
        <v>53</v>
      </c>
      <c r="AF69" s="8" t="s">
        <v>57</v>
      </c>
      <c r="AG69" s="8" t="s">
        <v>58</v>
      </c>
      <c r="AH69" s="8" t="s">
        <v>57</v>
      </c>
      <c r="AI69" s="8" t="s">
        <v>58</v>
      </c>
      <c r="AJ69" s="8" t="s">
        <v>57</v>
      </c>
      <c r="AK69" s="8" t="s">
        <v>56</v>
      </c>
      <c r="AL69" s="8" t="s">
        <v>57</v>
      </c>
      <c r="AM69" s="8" t="s">
        <v>57</v>
      </c>
      <c r="AN69" s="8" t="s">
        <v>58</v>
      </c>
      <c r="AO69" s="8" t="s">
        <v>56</v>
      </c>
      <c r="AP69" s="8" t="s">
        <v>58</v>
      </c>
      <c r="AQ69" s="8" t="s">
        <v>57</v>
      </c>
      <c r="AR69" s="8" t="s">
        <v>56</v>
      </c>
      <c r="AS69" s="8" t="s">
        <v>58</v>
      </c>
      <c r="AT69" s="8" t="s">
        <v>56</v>
      </c>
      <c r="AU69" s="8" t="s">
        <v>58</v>
      </c>
      <c r="AV69" s="8" t="s">
        <v>63</v>
      </c>
      <c r="AW69" s="8" t="s">
        <v>58</v>
      </c>
    </row>
    <row r="70" spans="1:49" ht="16.05" customHeight="1" x14ac:dyDescent="0.3">
      <c r="A70" s="8" t="s">
        <v>264</v>
      </c>
      <c r="B70" s="8" t="s">
        <v>265</v>
      </c>
      <c r="C70" s="9">
        <v>46136.100752314807</v>
      </c>
      <c r="D70" s="10" t="s">
        <v>266</v>
      </c>
      <c r="E70" s="8" t="s">
        <v>212</v>
      </c>
      <c r="F70" s="8">
        <v>17</v>
      </c>
      <c r="G70" s="8" t="s">
        <v>53</v>
      </c>
      <c r="H70" s="8" t="s">
        <v>55</v>
      </c>
      <c r="I70" s="8" t="s">
        <v>55</v>
      </c>
      <c r="J70" s="8" t="s">
        <v>53</v>
      </c>
      <c r="K70" s="8" t="s">
        <v>55</v>
      </c>
      <c r="L70" s="8" t="s">
        <v>55</v>
      </c>
      <c r="M70" s="8" t="s">
        <v>53</v>
      </c>
      <c r="N70" s="8" t="s">
        <v>54</v>
      </c>
      <c r="O70" s="8" t="s">
        <v>53</v>
      </c>
      <c r="P70" s="8" t="s">
        <v>54</v>
      </c>
      <c r="Q70" s="8" t="s">
        <v>53</v>
      </c>
      <c r="R70" s="8" t="s">
        <v>55</v>
      </c>
      <c r="S70" s="8" t="s">
        <v>55</v>
      </c>
      <c r="T70" s="8" t="s">
        <v>53</v>
      </c>
      <c r="U70" s="8" t="s">
        <v>55</v>
      </c>
      <c r="V70" s="8" t="s">
        <v>55</v>
      </c>
      <c r="W70" s="8" t="s">
        <v>53</v>
      </c>
      <c r="X70" s="8" t="s">
        <v>55</v>
      </c>
      <c r="Y70" s="8" t="s">
        <v>55</v>
      </c>
      <c r="Z70" s="8" t="s">
        <v>53</v>
      </c>
      <c r="AA70" s="8" t="s">
        <v>53</v>
      </c>
      <c r="AB70" s="8" t="s">
        <v>55</v>
      </c>
      <c r="AC70" s="8" t="s">
        <v>55</v>
      </c>
      <c r="AD70" s="8" t="s">
        <v>55</v>
      </c>
      <c r="AE70" s="8" t="s">
        <v>53</v>
      </c>
      <c r="AF70" s="8" t="s">
        <v>56</v>
      </c>
      <c r="AG70" s="8" t="s">
        <v>58</v>
      </c>
      <c r="AH70" s="8" t="s">
        <v>58</v>
      </c>
      <c r="AI70" s="8" t="s">
        <v>63</v>
      </c>
      <c r="AJ70" s="8" t="s">
        <v>59</v>
      </c>
      <c r="AK70" s="8" t="s">
        <v>58</v>
      </c>
      <c r="AL70" s="8" t="s">
        <v>57</v>
      </c>
      <c r="AM70" s="8" t="s">
        <v>56</v>
      </c>
      <c r="AN70" s="8" t="s">
        <v>63</v>
      </c>
      <c r="AO70" s="8" t="s">
        <v>58</v>
      </c>
      <c r="AP70" s="8" t="s">
        <v>63</v>
      </c>
      <c r="AQ70" s="8" t="s">
        <v>63</v>
      </c>
      <c r="AR70" s="8" t="s">
        <v>58</v>
      </c>
      <c r="AS70" s="8" t="s">
        <v>63</v>
      </c>
      <c r="AT70" s="8" t="s">
        <v>56</v>
      </c>
      <c r="AU70" s="8" t="s">
        <v>63</v>
      </c>
      <c r="AV70" s="8" t="s">
        <v>58</v>
      </c>
      <c r="AW70" s="8" t="s">
        <v>57</v>
      </c>
    </row>
    <row r="71" spans="1:49" ht="16.05" customHeight="1" x14ac:dyDescent="0.3">
      <c r="A71" s="8" t="s">
        <v>267</v>
      </c>
      <c r="B71" s="8" t="s">
        <v>268</v>
      </c>
      <c r="C71" s="9">
        <v>46136.100868055553</v>
      </c>
      <c r="D71" s="10" t="s">
        <v>269</v>
      </c>
      <c r="E71" s="8" t="s">
        <v>212</v>
      </c>
      <c r="F71" s="8">
        <v>17</v>
      </c>
      <c r="G71" s="8" t="s">
        <v>53</v>
      </c>
      <c r="H71" s="8" t="s">
        <v>55</v>
      </c>
      <c r="I71" s="8" t="s">
        <v>55</v>
      </c>
      <c r="J71" s="8" t="s">
        <v>53</v>
      </c>
      <c r="K71" s="8" t="s">
        <v>55</v>
      </c>
      <c r="L71" s="8" t="s">
        <v>55</v>
      </c>
      <c r="M71" s="8" t="s">
        <v>54</v>
      </c>
      <c r="N71" s="8" t="s">
        <v>54</v>
      </c>
      <c r="O71" s="8" t="s">
        <v>53</v>
      </c>
      <c r="P71" s="8" t="s">
        <v>54</v>
      </c>
      <c r="Q71" s="8" t="s">
        <v>53</v>
      </c>
      <c r="R71" s="8" t="s">
        <v>55</v>
      </c>
      <c r="S71" s="8" t="s">
        <v>55</v>
      </c>
      <c r="T71" s="8" t="s">
        <v>54</v>
      </c>
      <c r="U71" s="8" t="s">
        <v>55</v>
      </c>
      <c r="V71" s="8" t="s">
        <v>55</v>
      </c>
      <c r="W71" s="8" t="s">
        <v>53</v>
      </c>
      <c r="X71" s="8" t="s">
        <v>55</v>
      </c>
      <c r="Y71" s="8" t="s">
        <v>55</v>
      </c>
      <c r="Z71" s="8" t="s">
        <v>53</v>
      </c>
      <c r="AA71" s="8" t="s">
        <v>53</v>
      </c>
      <c r="AB71" s="8" t="s">
        <v>55</v>
      </c>
      <c r="AC71" s="8" t="s">
        <v>55</v>
      </c>
      <c r="AD71" s="8" t="s">
        <v>54</v>
      </c>
      <c r="AE71" s="8" t="s">
        <v>53</v>
      </c>
      <c r="AF71" s="8" t="s">
        <v>57</v>
      </c>
      <c r="AG71" s="8" t="s">
        <v>58</v>
      </c>
      <c r="AH71" s="8" t="s">
        <v>63</v>
      </c>
      <c r="AI71" s="8" t="s">
        <v>63</v>
      </c>
      <c r="AJ71" s="8" t="s">
        <v>63</v>
      </c>
      <c r="AK71" s="8" t="s">
        <v>63</v>
      </c>
      <c r="AL71" s="8" t="s">
        <v>63</v>
      </c>
      <c r="AM71" s="8" t="s">
        <v>58</v>
      </c>
      <c r="AN71" s="8" t="s">
        <v>58</v>
      </c>
      <c r="AO71" s="8" t="s">
        <v>58</v>
      </c>
      <c r="AP71" s="8" t="s">
        <v>63</v>
      </c>
      <c r="AQ71" s="8" t="s">
        <v>63</v>
      </c>
      <c r="AR71" s="8" t="s">
        <v>63</v>
      </c>
      <c r="AS71" s="8" t="s">
        <v>63</v>
      </c>
      <c r="AT71" s="8" t="s">
        <v>57</v>
      </c>
      <c r="AU71" s="8" t="s">
        <v>58</v>
      </c>
      <c r="AV71" s="8" t="s">
        <v>57</v>
      </c>
      <c r="AW71" s="8" t="s">
        <v>58</v>
      </c>
    </row>
    <row r="72" spans="1:49" ht="16.05" customHeight="1" x14ac:dyDescent="0.3">
      <c r="A72" s="8" t="s">
        <v>270</v>
      </c>
      <c r="B72" s="8" t="s">
        <v>271</v>
      </c>
      <c r="C72" s="9">
        <v>46136.100925925923</v>
      </c>
      <c r="D72" s="10" t="s">
        <v>272</v>
      </c>
      <c r="E72" s="8" t="s">
        <v>212</v>
      </c>
      <c r="F72" s="8">
        <v>17</v>
      </c>
      <c r="G72" s="8" t="s">
        <v>53</v>
      </c>
      <c r="H72" s="8" t="s">
        <v>53</v>
      </c>
      <c r="I72" s="8" t="s">
        <v>53</v>
      </c>
      <c r="J72" s="8" t="s">
        <v>53</v>
      </c>
      <c r="K72" s="8" t="s">
        <v>54</v>
      </c>
      <c r="L72" s="8" t="s">
        <v>55</v>
      </c>
      <c r="M72" s="8" t="s">
        <v>54</v>
      </c>
      <c r="N72" s="8" t="s">
        <v>53</v>
      </c>
      <c r="O72" s="8" t="s">
        <v>53</v>
      </c>
      <c r="P72" s="8" t="s">
        <v>54</v>
      </c>
      <c r="Q72" s="8" t="s">
        <v>53</v>
      </c>
      <c r="R72" s="8" t="s">
        <v>55</v>
      </c>
      <c r="S72" s="8" t="s">
        <v>53</v>
      </c>
      <c r="T72" s="8" t="s">
        <v>54</v>
      </c>
      <c r="U72" s="8" t="s">
        <v>53</v>
      </c>
      <c r="V72" s="8" t="s">
        <v>53</v>
      </c>
      <c r="W72" s="8" t="s">
        <v>53</v>
      </c>
      <c r="X72" s="8" t="s">
        <v>54</v>
      </c>
      <c r="Y72" s="8" t="s">
        <v>55</v>
      </c>
      <c r="Z72" s="8" t="s">
        <v>53</v>
      </c>
      <c r="AA72" s="8" t="s">
        <v>53</v>
      </c>
      <c r="AB72" s="8" t="s">
        <v>55</v>
      </c>
      <c r="AC72" s="8" t="s">
        <v>55</v>
      </c>
      <c r="AD72" s="8" t="s">
        <v>53</v>
      </c>
      <c r="AE72" s="8" t="s">
        <v>53</v>
      </c>
      <c r="AF72" s="8" t="s">
        <v>56</v>
      </c>
      <c r="AG72" s="8" t="s">
        <v>63</v>
      </c>
      <c r="AH72" s="8" t="s">
        <v>58</v>
      </c>
      <c r="AI72" s="8" t="s">
        <v>57</v>
      </c>
      <c r="AJ72" s="8" t="s">
        <v>63</v>
      </c>
      <c r="AK72" s="8" t="s">
        <v>63</v>
      </c>
      <c r="AL72" s="8" t="s">
        <v>63</v>
      </c>
      <c r="AM72" s="8" t="s">
        <v>59</v>
      </c>
      <c r="AN72" s="8" t="s">
        <v>63</v>
      </c>
      <c r="AO72" s="8" t="s">
        <v>57</v>
      </c>
      <c r="AP72" s="8" t="s">
        <v>63</v>
      </c>
      <c r="AQ72" s="8" t="s">
        <v>59</v>
      </c>
      <c r="AR72" s="8" t="s">
        <v>56</v>
      </c>
      <c r="AS72" s="8" t="s">
        <v>57</v>
      </c>
      <c r="AT72" s="8" t="s">
        <v>56</v>
      </c>
      <c r="AU72" s="8" t="s">
        <v>63</v>
      </c>
      <c r="AV72" s="8" t="s">
        <v>57</v>
      </c>
      <c r="AW72" s="8" t="s">
        <v>58</v>
      </c>
    </row>
    <row r="73" spans="1:49" ht="16.05" customHeight="1" x14ac:dyDescent="0.3">
      <c r="A73" s="8" t="s">
        <v>273</v>
      </c>
      <c r="B73" s="8" t="s">
        <v>274</v>
      </c>
      <c r="C73" s="9">
        <v>46136.100972222222</v>
      </c>
      <c r="D73" s="10" t="s">
        <v>275</v>
      </c>
      <c r="E73" s="8" t="s">
        <v>212</v>
      </c>
      <c r="F73" s="8">
        <v>16</v>
      </c>
      <c r="G73" s="8" t="s">
        <v>54</v>
      </c>
      <c r="H73" s="8" t="s">
        <v>53</v>
      </c>
      <c r="I73" s="8" t="s">
        <v>54</v>
      </c>
      <c r="J73" s="8" t="s">
        <v>54</v>
      </c>
      <c r="K73" s="8" t="s">
        <v>54</v>
      </c>
      <c r="L73" s="8" t="s">
        <v>55</v>
      </c>
      <c r="M73" s="8" t="s">
        <v>54</v>
      </c>
      <c r="N73" s="8" t="s">
        <v>54</v>
      </c>
      <c r="O73" s="8" t="s">
        <v>54</v>
      </c>
      <c r="P73" s="8" t="s">
        <v>53</v>
      </c>
      <c r="Q73" s="8" t="s">
        <v>53</v>
      </c>
      <c r="R73" s="8" t="s">
        <v>54</v>
      </c>
      <c r="S73" s="8" t="s">
        <v>53</v>
      </c>
      <c r="T73" s="8" t="s">
        <v>55</v>
      </c>
      <c r="U73" s="8" t="s">
        <v>53</v>
      </c>
      <c r="V73" s="8" t="s">
        <v>53</v>
      </c>
      <c r="W73" s="8" t="s">
        <v>53</v>
      </c>
      <c r="X73" s="8" t="s">
        <v>53</v>
      </c>
      <c r="Y73" s="8" t="s">
        <v>54</v>
      </c>
      <c r="Z73" s="8" t="s">
        <v>53</v>
      </c>
      <c r="AA73" s="8" t="s">
        <v>54</v>
      </c>
      <c r="AB73" s="8" t="s">
        <v>54</v>
      </c>
      <c r="AC73" s="8" t="s">
        <v>55</v>
      </c>
      <c r="AD73" s="8" t="s">
        <v>53</v>
      </c>
      <c r="AE73" s="8" t="s">
        <v>54</v>
      </c>
      <c r="AF73" s="8" t="s">
        <v>56</v>
      </c>
      <c r="AG73" s="8" t="s">
        <v>56</v>
      </c>
      <c r="AH73" s="8" t="s">
        <v>56</v>
      </c>
      <c r="AI73" s="8" t="s">
        <v>56</v>
      </c>
      <c r="AJ73" s="8" t="s">
        <v>56</v>
      </c>
      <c r="AK73" s="8" t="s">
        <v>57</v>
      </c>
      <c r="AL73" s="8" t="s">
        <v>56</v>
      </c>
      <c r="AM73" s="8" t="s">
        <v>57</v>
      </c>
      <c r="AN73" s="8" t="s">
        <v>56</v>
      </c>
      <c r="AO73" s="8" t="s">
        <v>59</v>
      </c>
      <c r="AP73" s="8" t="s">
        <v>56</v>
      </c>
      <c r="AQ73" s="8" t="s">
        <v>59</v>
      </c>
      <c r="AR73" s="8" t="s">
        <v>56</v>
      </c>
      <c r="AS73" s="8" t="s">
        <v>56</v>
      </c>
      <c r="AT73" s="8" t="s">
        <v>56</v>
      </c>
      <c r="AU73" s="8" t="s">
        <v>57</v>
      </c>
      <c r="AV73" s="8" t="s">
        <v>59</v>
      </c>
      <c r="AW73" s="8" t="s">
        <v>56</v>
      </c>
    </row>
    <row r="74" spans="1:49" ht="16.05" customHeight="1" x14ac:dyDescent="0.3">
      <c r="A74" s="8" t="s">
        <v>276</v>
      </c>
      <c r="B74" s="8" t="s">
        <v>277</v>
      </c>
      <c r="C74" s="9">
        <v>46136.101134259261</v>
      </c>
      <c r="D74" s="10" t="s">
        <v>278</v>
      </c>
      <c r="E74" s="8" t="s">
        <v>212</v>
      </c>
      <c r="F74" s="8">
        <v>17</v>
      </c>
      <c r="G74" s="8" t="s">
        <v>53</v>
      </c>
      <c r="H74" s="8" t="s">
        <v>55</v>
      </c>
      <c r="I74" s="8" t="s">
        <v>54</v>
      </c>
      <c r="J74" s="8" t="s">
        <v>53</v>
      </c>
      <c r="K74" s="8" t="s">
        <v>53</v>
      </c>
      <c r="L74" s="8" t="s">
        <v>53</v>
      </c>
      <c r="M74" s="8" t="s">
        <v>53</v>
      </c>
      <c r="N74" s="8" t="s">
        <v>54</v>
      </c>
      <c r="O74" s="8" t="s">
        <v>53</v>
      </c>
      <c r="P74" s="8" t="s">
        <v>53</v>
      </c>
      <c r="Q74" s="8" t="s">
        <v>54</v>
      </c>
      <c r="R74" s="8" t="s">
        <v>54</v>
      </c>
      <c r="S74" s="8" t="s">
        <v>53</v>
      </c>
      <c r="T74" s="8" t="s">
        <v>55</v>
      </c>
      <c r="U74" s="8" t="s">
        <v>53</v>
      </c>
      <c r="V74" s="8" t="s">
        <v>53</v>
      </c>
      <c r="W74" s="8" t="s">
        <v>54</v>
      </c>
      <c r="X74" s="8" t="s">
        <v>54</v>
      </c>
      <c r="Y74" s="8" t="s">
        <v>53</v>
      </c>
      <c r="Z74" s="8" t="s">
        <v>53</v>
      </c>
      <c r="AA74" s="8" t="s">
        <v>55</v>
      </c>
      <c r="AB74" s="8" t="s">
        <v>55</v>
      </c>
      <c r="AC74" s="8" t="s">
        <v>53</v>
      </c>
      <c r="AD74" s="8" t="s">
        <v>54</v>
      </c>
      <c r="AE74" s="8" t="s">
        <v>53</v>
      </c>
      <c r="AF74" s="8" t="s">
        <v>59</v>
      </c>
      <c r="AG74" s="8" t="s">
        <v>57</v>
      </c>
      <c r="AH74" s="8" t="s">
        <v>56</v>
      </c>
      <c r="AI74" s="8" t="s">
        <v>58</v>
      </c>
      <c r="AJ74" s="8" t="s">
        <v>57</v>
      </c>
      <c r="AK74" s="8" t="s">
        <v>59</v>
      </c>
      <c r="AL74" s="8" t="s">
        <v>57</v>
      </c>
      <c r="AM74" s="8" t="s">
        <v>59</v>
      </c>
      <c r="AN74" s="8" t="s">
        <v>59</v>
      </c>
      <c r="AO74" s="8" t="s">
        <v>56</v>
      </c>
      <c r="AP74" s="8" t="s">
        <v>57</v>
      </c>
      <c r="AQ74" s="8" t="s">
        <v>59</v>
      </c>
      <c r="AR74" s="8" t="s">
        <v>56</v>
      </c>
      <c r="AS74" s="8" t="s">
        <v>56</v>
      </c>
      <c r="AT74" s="8" t="s">
        <v>57</v>
      </c>
      <c r="AU74" s="8" t="s">
        <v>57</v>
      </c>
      <c r="AV74" s="8" t="s">
        <v>57</v>
      </c>
      <c r="AW74" s="8" t="s">
        <v>56</v>
      </c>
    </row>
    <row r="75" spans="1:49" ht="16.05" customHeight="1" x14ac:dyDescent="0.3">
      <c r="A75" s="8" t="s">
        <v>279</v>
      </c>
      <c r="B75" s="8" t="s">
        <v>280</v>
      </c>
      <c r="C75" s="9">
        <v>46136.10119212963</v>
      </c>
      <c r="D75" s="10" t="s">
        <v>281</v>
      </c>
      <c r="E75" s="9" t="s">
        <v>212</v>
      </c>
      <c r="F75" s="8">
        <v>17</v>
      </c>
      <c r="G75" s="8" t="s">
        <v>53</v>
      </c>
      <c r="H75" s="8" t="s">
        <v>55</v>
      </c>
      <c r="I75" s="8" t="s">
        <v>55</v>
      </c>
      <c r="J75" s="8" t="s">
        <v>54</v>
      </c>
      <c r="K75" s="8" t="s">
        <v>54</v>
      </c>
      <c r="L75" s="8" t="s">
        <v>55</v>
      </c>
      <c r="M75" s="8" t="s">
        <v>55</v>
      </c>
      <c r="N75" s="8" t="s">
        <v>54</v>
      </c>
      <c r="O75" s="8" t="s">
        <v>53</v>
      </c>
      <c r="P75" s="8" t="s">
        <v>54</v>
      </c>
      <c r="Q75" s="8" t="s">
        <v>53</v>
      </c>
      <c r="R75" s="8" t="s">
        <v>55</v>
      </c>
      <c r="S75" s="8" t="s">
        <v>54</v>
      </c>
      <c r="T75" s="8" t="s">
        <v>54</v>
      </c>
      <c r="U75" s="8" t="s">
        <v>54</v>
      </c>
      <c r="V75" s="8" t="s">
        <v>54</v>
      </c>
      <c r="W75" s="8" t="s">
        <v>53</v>
      </c>
      <c r="X75" s="8" t="s">
        <v>55</v>
      </c>
      <c r="Y75" s="8" t="s">
        <v>55</v>
      </c>
      <c r="Z75" s="8" t="s">
        <v>53</v>
      </c>
      <c r="AA75" s="8" t="s">
        <v>54</v>
      </c>
      <c r="AB75" s="8" t="s">
        <v>55</v>
      </c>
      <c r="AC75" s="8" t="s">
        <v>55</v>
      </c>
      <c r="AD75" s="8" t="s">
        <v>54</v>
      </c>
      <c r="AE75" s="8" t="s">
        <v>54</v>
      </c>
      <c r="AF75" s="8" t="s">
        <v>57</v>
      </c>
      <c r="AG75" s="8" t="s">
        <v>58</v>
      </c>
      <c r="AH75" s="8" t="s">
        <v>57</v>
      </c>
      <c r="AI75" s="8" t="s">
        <v>58</v>
      </c>
      <c r="AJ75" s="8" t="s">
        <v>57</v>
      </c>
      <c r="AK75" s="8" t="s">
        <v>57</v>
      </c>
      <c r="AL75" s="8" t="s">
        <v>57</v>
      </c>
      <c r="AM75" s="8" t="s">
        <v>58</v>
      </c>
      <c r="AN75" s="8" t="s">
        <v>58</v>
      </c>
      <c r="AO75" s="8" t="s">
        <v>58</v>
      </c>
      <c r="AP75" s="8" t="s">
        <v>63</v>
      </c>
      <c r="AQ75" s="8" t="s">
        <v>63</v>
      </c>
      <c r="AR75" s="8" t="s">
        <v>58</v>
      </c>
      <c r="AS75" s="8" t="s">
        <v>63</v>
      </c>
      <c r="AT75" s="8" t="s">
        <v>57</v>
      </c>
      <c r="AU75" s="8" t="s">
        <v>58</v>
      </c>
      <c r="AV75" s="8" t="s">
        <v>58</v>
      </c>
      <c r="AW75" s="8" t="s">
        <v>58</v>
      </c>
    </row>
    <row r="76" spans="1:49" ht="16.05" customHeight="1" x14ac:dyDescent="0.3">
      <c r="A76" s="8" t="s">
        <v>282</v>
      </c>
      <c r="B76" s="8" t="s">
        <v>283</v>
      </c>
      <c r="C76" s="9">
        <v>46136.101203703707</v>
      </c>
      <c r="D76" s="10" t="s">
        <v>284</v>
      </c>
      <c r="E76" s="8" t="s">
        <v>212</v>
      </c>
      <c r="F76" s="8">
        <v>17</v>
      </c>
      <c r="G76" s="8" t="s">
        <v>53</v>
      </c>
      <c r="H76" s="8" t="s">
        <v>54</v>
      </c>
      <c r="I76" s="8" t="s">
        <v>55</v>
      </c>
      <c r="J76" s="8" t="s">
        <v>53</v>
      </c>
      <c r="K76" s="8" t="s">
        <v>54</v>
      </c>
      <c r="L76" s="8" t="s">
        <v>55</v>
      </c>
      <c r="M76" s="8" t="s">
        <v>54</v>
      </c>
      <c r="N76" s="8" t="s">
        <v>54</v>
      </c>
      <c r="O76" s="8" t="s">
        <v>53</v>
      </c>
      <c r="P76" s="8" t="s">
        <v>55</v>
      </c>
      <c r="Q76" s="8" t="s">
        <v>54</v>
      </c>
      <c r="R76" s="8" t="s">
        <v>55</v>
      </c>
      <c r="S76" s="8" t="s">
        <v>55</v>
      </c>
      <c r="T76" s="8" t="s">
        <v>54</v>
      </c>
      <c r="U76" s="8" t="s">
        <v>55</v>
      </c>
      <c r="V76" s="8" t="s">
        <v>54</v>
      </c>
      <c r="W76" s="8" t="s">
        <v>53</v>
      </c>
      <c r="X76" s="8" t="s">
        <v>55</v>
      </c>
      <c r="Y76" s="8" t="s">
        <v>55</v>
      </c>
      <c r="Z76" s="8" t="s">
        <v>54</v>
      </c>
      <c r="AA76" s="8" t="s">
        <v>53</v>
      </c>
      <c r="AB76" s="8" t="s">
        <v>55</v>
      </c>
      <c r="AC76" s="8" t="s">
        <v>55</v>
      </c>
      <c r="AD76" s="8" t="s">
        <v>55</v>
      </c>
      <c r="AE76" s="8" t="s">
        <v>54</v>
      </c>
      <c r="AF76" s="8" t="s">
        <v>57</v>
      </c>
      <c r="AG76" s="8" t="s">
        <v>58</v>
      </c>
      <c r="AH76" s="8" t="s">
        <v>58</v>
      </c>
      <c r="AI76" s="8" t="s">
        <v>63</v>
      </c>
      <c r="AJ76" s="8" t="s">
        <v>59</v>
      </c>
      <c r="AK76" s="8" t="s">
        <v>63</v>
      </c>
      <c r="AL76" s="8" t="s">
        <v>58</v>
      </c>
      <c r="AM76" s="8" t="s">
        <v>57</v>
      </c>
      <c r="AN76" s="8" t="s">
        <v>57</v>
      </c>
      <c r="AO76" s="8" t="s">
        <v>56</v>
      </c>
      <c r="AP76" s="8" t="s">
        <v>58</v>
      </c>
      <c r="AQ76" s="8" t="s">
        <v>63</v>
      </c>
      <c r="AR76" s="8" t="s">
        <v>58</v>
      </c>
      <c r="AS76" s="8" t="s">
        <v>58</v>
      </c>
      <c r="AT76" s="8" t="s">
        <v>57</v>
      </c>
      <c r="AU76" s="8" t="s">
        <v>58</v>
      </c>
      <c r="AV76" s="8" t="s">
        <v>58</v>
      </c>
      <c r="AW76" s="8" t="s">
        <v>57</v>
      </c>
    </row>
    <row r="77" spans="1:49" ht="16.05" customHeight="1" x14ac:dyDescent="0.3">
      <c r="A77" s="8" t="s">
        <v>285</v>
      </c>
      <c r="B77" s="8" t="s">
        <v>286</v>
      </c>
      <c r="C77" s="9">
        <v>46136.1015162037</v>
      </c>
      <c r="D77" s="10" t="s">
        <v>287</v>
      </c>
      <c r="E77" s="8" t="s">
        <v>212</v>
      </c>
      <c r="F77" s="8">
        <v>17</v>
      </c>
      <c r="G77" s="8" t="s">
        <v>53</v>
      </c>
      <c r="H77" s="8" t="s">
        <v>54</v>
      </c>
      <c r="I77" s="8" t="s">
        <v>55</v>
      </c>
      <c r="J77" s="8" t="s">
        <v>53</v>
      </c>
      <c r="K77" s="8" t="s">
        <v>55</v>
      </c>
      <c r="L77" s="8" t="s">
        <v>55</v>
      </c>
      <c r="M77" s="8" t="s">
        <v>53</v>
      </c>
      <c r="N77" s="8" t="s">
        <v>55</v>
      </c>
      <c r="O77" s="8" t="s">
        <v>53</v>
      </c>
      <c r="P77" s="8" t="s">
        <v>55</v>
      </c>
      <c r="Q77" s="8" t="s">
        <v>53</v>
      </c>
      <c r="R77" s="8" t="s">
        <v>55</v>
      </c>
      <c r="S77" s="8" t="s">
        <v>55</v>
      </c>
      <c r="T77" s="8" t="s">
        <v>54</v>
      </c>
      <c r="U77" s="8" t="s">
        <v>55</v>
      </c>
      <c r="V77" s="8" t="s">
        <v>55</v>
      </c>
      <c r="W77" s="8" t="s">
        <v>53</v>
      </c>
      <c r="X77" s="8" t="s">
        <v>55</v>
      </c>
      <c r="Y77" s="8" t="s">
        <v>55</v>
      </c>
      <c r="Z77" s="8" t="s">
        <v>53</v>
      </c>
      <c r="AA77" s="8" t="s">
        <v>53</v>
      </c>
      <c r="AB77" s="8" t="s">
        <v>55</v>
      </c>
      <c r="AC77" s="8" t="s">
        <v>55</v>
      </c>
      <c r="AD77" s="8" t="s">
        <v>55</v>
      </c>
      <c r="AE77" s="8" t="s">
        <v>53</v>
      </c>
      <c r="AF77" s="8" t="s">
        <v>57</v>
      </c>
      <c r="AG77" s="8" t="s">
        <v>58</v>
      </c>
      <c r="AH77" s="8" t="s">
        <v>58</v>
      </c>
      <c r="AI77" s="8" t="s">
        <v>63</v>
      </c>
      <c r="AJ77" s="8" t="s">
        <v>57</v>
      </c>
      <c r="AK77" s="8" t="s">
        <v>63</v>
      </c>
      <c r="AL77" s="8" t="s">
        <v>58</v>
      </c>
      <c r="AM77" s="8" t="s">
        <v>58</v>
      </c>
      <c r="AN77" s="8" t="s">
        <v>63</v>
      </c>
      <c r="AO77" s="8" t="s">
        <v>57</v>
      </c>
      <c r="AP77" s="8" t="s">
        <v>63</v>
      </c>
      <c r="AQ77" s="8" t="s">
        <v>57</v>
      </c>
      <c r="AR77" s="8" t="s">
        <v>58</v>
      </c>
      <c r="AS77" s="8" t="s">
        <v>63</v>
      </c>
      <c r="AT77" s="8" t="s">
        <v>58</v>
      </c>
      <c r="AU77" s="8" t="s">
        <v>63</v>
      </c>
      <c r="AV77" s="8" t="s">
        <v>63</v>
      </c>
      <c r="AW77" s="8" t="s">
        <v>63</v>
      </c>
    </row>
    <row r="78" spans="1:49" ht="16.05" customHeight="1" x14ac:dyDescent="0.3">
      <c r="A78" s="8" t="s">
        <v>288</v>
      </c>
      <c r="B78" s="8" t="s">
        <v>289</v>
      </c>
      <c r="C78" s="9">
        <v>46136.101550925923</v>
      </c>
      <c r="D78" s="10" t="s">
        <v>290</v>
      </c>
      <c r="E78" s="8" t="s">
        <v>212</v>
      </c>
      <c r="F78" s="8">
        <v>18</v>
      </c>
      <c r="G78" s="8" t="s">
        <v>53</v>
      </c>
      <c r="H78" s="8" t="s">
        <v>54</v>
      </c>
      <c r="I78" s="8" t="s">
        <v>54</v>
      </c>
      <c r="J78" s="8" t="s">
        <v>54</v>
      </c>
      <c r="K78" s="8" t="s">
        <v>54</v>
      </c>
      <c r="L78" s="8" t="s">
        <v>54</v>
      </c>
      <c r="M78" s="8" t="s">
        <v>54</v>
      </c>
      <c r="N78" s="8" t="s">
        <v>53</v>
      </c>
      <c r="O78" s="8" t="s">
        <v>54</v>
      </c>
      <c r="P78" s="8" t="s">
        <v>53</v>
      </c>
      <c r="Q78" s="8" t="s">
        <v>53</v>
      </c>
      <c r="R78" s="8" t="s">
        <v>55</v>
      </c>
      <c r="S78" s="8" t="s">
        <v>54</v>
      </c>
      <c r="T78" s="8" t="s">
        <v>54</v>
      </c>
      <c r="U78" s="8" t="s">
        <v>54</v>
      </c>
      <c r="V78" s="8" t="s">
        <v>54</v>
      </c>
      <c r="W78" s="8" t="s">
        <v>53</v>
      </c>
      <c r="X78" s="8" t="s">
        <v>55</v>
      </c>
      <c r="Y78" s="8" t="s">
        <v>55</v>
      </c>
      <c r="Z78" s="8" t="s">
        <v>54</v>
      </c>
      <c r="AA78" s="8" t="s">
        <v>53</v>
      </c>
      <c r="AB78" s="8" t="s">
        <v>55</v>
      </c>
      <c r="AC78" s="8" t="s">
        <v>54</v>
      </c>
      <c r="AD78" s="8" t="s">
        <v>53</v>
      </c>
      <c r="AE78" s="8" t="s">
        <v>53</v>
      </c>
      <c r="AF78" s="8" t="s">
        <v>56</v>
      </c>
      <c r="AG78" s="8" t="s">
        <v>57</v>
      </c>
      <c r="AH78" s="8" t="s">
        <v>57</v>
      </c>
      <c r="AI78" s="8" t="s">
        <v>57</v>
      </c>
      <c r="AJ78" s="8" t="s">
        <v>57</v>
      </c>
      <c r="AK78" s="8" t="s">
        <v>63</v>
      </c>
      <c r="AL78" s="8" t="s">
        <v>57</v>
      </c>
      <c r="AM78" s="8" t="s">
        <v>56</v>
      </c>
      <c r="AN78" s="8" t="s">
        <v>58</v>
      </c>
      <c r="AO78" s="8" t="s">
        <v>56</v>
      </c>
      <c r="AP78" s="8" t="s">
        <v>58</v>
      </c>
      <c r="AQ78" s="8" t="s">
        <v>57</v>
      </c>
      <c r="AR78" s="8" t="s">
        <v>57</v>
      </c>
      <c r="AS78" s="8" t="s">
        <v>56</v>
      </c>
      <c r="AT78" s="8" t="s">
        <v>57</v>
      </c>
      <c r="AU78" s="8" t="s">
        <v>58</v>
      </c>
      <c r="AV78" s="8" t="s">
        <v>58</v>
      </c>
      <c r="AW78" s="8" t="s">
        <v>58</v>
      </c>
    </row>
    <row r="79" spans="1:49" ht="16.05" customHeight="1" x14ac:dyDescent="0.3">
      <c r="A79" s="8" t="s">
        <v>291</v>
      </c>
      <c r="B79" s="8" t="s">
        <v>292</v>
      </c>
      <c r="C79" s="9">
        <v>46136.1016087963</v>
      </c>
      <c r="D79" s="10" t="s">
        <v>293</v>
      </c>
      <c r="E79" s="8" t="s">
        <v>212</v>
      </c>
      <c r="F79" s="8">
        <v>17</v>
      </c>
      <c r="G79" s="8" t="s">
        <v>53</v>
      </c>
      <c r="H79" s="8" t="s">
        <v>54</v>
      </c>
      <c r="I79" s="8" t="s">
        <v>54</v>
      </c>
      <c r="J79" s="8" t="s">
        <v>53</v>
      </c>
      <c r="K79" s="8" t="s">
        <v>54</v>
      </c>
      <c r="L79" s="8" t="s">
        <v>55</v>
      </c>
      <c r="M79" s="8" t="s">
        <v>54</v>
      </c>
      <c r="N79" s="8" t="s">
        <v>54</v>
      </c>
      <c r="O79" s="8" t="s">
        <v>53</v>
      </c>
      <c r="P79" s="8" t="s">
        <v>53</v>
      </c>
      <c r="Q79" s="8" t="s">
        <v>53</v>
      </c>
      <c r="R79" s="8" t="s">
        <v>55</v>
      </c>
      <c r="S79" s="8" t="s">
        <v>54</v>
      </c>
      <c r="T79" s="8" t="s">
        <v>54</v>
      </c>
      <c r="U79" s="8" t="s">
        <v>55</v>
      </c>
      <c r="V79" s="8" t="s">
        <v>55</v>
      </c>
      <c r="W79" s="8" t="s">
        <v>53</v>
      </c>
      <c r="X79" s="8" t="s">
        <v>55</v>
      </c>
      <c r="Y79" s="8" t="s">
        <v>55</v>
      </c>
      <c r="Z79" s="8" t="s">
        <v>53</v>
      </c>
      <c r="AA79" s="8" t="s">
        <v>53</v>
      </c>
      <c r="AB79" s="8" t="s">
        <v>55</v>
      </c>
      <c r="AC79" s="8" t="s">
        <v>54</v>
      </c>
      <c r="AD79" s="8" t="s">
        <v>54</v>
      </c>
      <c r="AE79" s="8" t="s">
        <v>53</v>
      </c>
      <c r="AF79" s="8" t="s">
        <v>58</v>
      </c>
      <c r="AG79" s="8" t="s">
        <v>63</v>
      </c>
      <c r="AH79" s="8" t="s">
        <v>57</v>
      </c>
      <c r="AI79" s="8" t="s">
        <v>57</v>
      </c>
      <c r="AJ79" s="8" t="s">
        <v>58</v>
      </c>
      <c r="AK79" s="8" t="s">
        <v>58</v>
      </c>
      <c r="AL79" s="8" t="s">
        <v>63</v>
      </c>
      <c r="AM79" s="8" t="s">
        <v>59</v>
      </c>
      <c r="AN79" s="8" t="s">
        <v>63</v>
      </c>
      <c r="AO79" s="8" t="s">
        <v>58</v>
      </c>
      <c r="AP79" s="8" t="s">
        <v>57</v>
      </c>
      <c r="AQ79" s="8" t="s">
        <v>63</v>
      </c>
      <c r="AR79" s="8" t="s">
        <v>58</v>
      </c>
      <c r="AS79" s="8" t="s">
        <v>58</v>
      </c>
      <c r="AT79" s="8" t="s">
        <v>63</v>
      </c>
      <c r="AU79" s="8" t="s">
        <v>63</v>
      </c>
      <c r="AV79" s="8" t="s">
        <v>56</v>
      </c>
      <c r="AW79" s="8" t="s">
        <v>57</v>
      </c>
    </row>
    <row r="80" spans="1:49" ht="16.05" customHeight="1" x14ac:dyDescent="0.3">
      <c r="A80" s="8" t="s">
        <v>294</v>
      </c>
      <c r="B80" s="8" t="s">
        <v>295</v>
      </c>
      <c r="C80" s="9">
        <v>46136.101678240739</v>
      </c>
      <c r="D80" s="10" t="s">
        <v>296</v>
      </c>
      <c r="E80" s="9" t="s">
        <v>212</v>
      </c>
      <c r="F80" s="8">
        <v>17</v>
      </c>
      <c r="G80" s="8" t="s">
        <v>53</v>
      </c>
      <c r="H80" s="8" t="s">
        <v>54</v>
      </c>
      <c r="I80" s="8" t="s">
        <v>54</v>
      </c>
      <c r="J80" s="8" t="s">
        <v>53</v>
      </c>
      <c r="K80" s="8" t="s">
        <v>55</v>
      </c>
      <c r="L80" s="8" t="s">
        <v>55</v>
      </c>
      <c r="M80" s="8" t="s">
        <v>55</v>
      </c>
      <c r="N80" s="8" t="s">
        <v>54</v>
      </c>
      <c r="O80" s="8" t="s">
        <v>54</v>
      </c>
      <c r="P80" s="8" t="s">
        <v>53</v>
      </c>
      <c r="Q80" s="8" t="s">
        <v>53</v>
      </c>
      <c r="R80" s="8" t="s">
        <v>55</v>
      </c>
      <c r="S80" s="8" t="s">
        <v>55</v>
      </c>
      <c r="T80" s="8" t="s">
        <v>53</v>
      </c>
      <c r="U80" s="8" t="s">
        <v>55</v>
      </c>
      <c r="V80" s="8" t="s">
        <v>55</v>
      </c>
      <c r="W80" s="8" t="s">
        <v>53</v>
      </c>
      <c r="X80" s="8" t="s">
        <v>55</v>
      </c>
      <c r="Y80" s="8" t="s">
        <v>55</v>
      </c>
      <c r="Z80" s="8" t="s">
        <v>54</v>
      </c>
      <c r="AA80" s="8" t="s">
        <v>53</v>
      </c>
      <c r="AB80" s="8" t="s">
        <v>55</v>
      </c>
      <c r="AC80" s="8" t="s">
        <v>55</v>
      </c>
      <c r="AD80" s="8" t="s">
        <v>55</v>
      </c>
      <c r="AE80" s="8" t="s">
        <v>53</v>
      </c>
      <c r="AF80" s="8" t="s">
        <v>57</v>
      </c>
      <c r="AG80" s="8" t="s">
        <v>58</v>
      </c>
      <c r="AH80" s="8" t="s">
        <v>58</v>
      </c>
      <c r="AI80" s="8" t="s">
        <v>57</v>
      </c>
      <c r="AJ80" s="8" t="s">
        <v>56</v>
      </c>
      <c r="AK80" s="8" t="s">
        <v>58</v>
      </c>
      <c r="AL80" s="8" t="s">
        <v>58</v>
      </c>
      <c r="AM80" s="8" t="s">
        <v>56</v>
      </c>
      <c r="AN80" s="8" t="s">
        <v>56</v>
      </c>
      <c r="AO80" s="8" t="s">
        <v>58</v>
      </c>
      <c r="AP80" s="8" t="s">
        <v>58</v>
      </c>
      <c r="AQ80" s="8" t="s">
        <v>58</v>
      </c>
      <c r="AR80" s="8" t="s">
        <v>58</v>
      </c>
      <c r="AS80" s="8" t="s">
        <v>58</v>
      </c>
      <c r="AT80" s="8" t="s">
        <v>57</v>
      </c>
      <c r="AU80" s="8" t="s">
        <v>58</v>
      </c>
      <c r="AV80" s="8" t="s">
        <v>57</v>
      </c>
      <c r="AW80" s="8" t="s">
        <v>57</v>
      </c>
    </row>
    <row r="81" spans="1:49" ht="16.05" customHeight="1" x14ac:dyDescent="0.3">
      <c r="A81" s="8" t="s">
        <v>297</v>
      </c>
      <c r="B81" s="8" t="s">
        <v>298</v>
      </c>
      <c r="C81" s="9">
        <v>46136.101678240739</v>
      </c>
      <c r="D81" s="10" t="s">
        <v>299</v>
      </c>
      <c r="E81" s="8" t="s">
        <v>212</v>
      </c>
      <c r="F81" s="8">
        <v>17</v>
      </c>
      <c r="G81" s="8" t="s">
        <v>53</v>
      </c>
      <c r="H81" s="8" t="s">
        <v>54</v>
      </c>
      <c r="I81" s="8" t="s">
        <v>55</v>
      </c>
      <c r="J81" s="8" t="s">
        <v>53</v>
      </c>
      <c r="K81" s="8" t="s">
        <v>54</v>
      </c>
      <c r="L81" s="8" t="s">
        <v>54</v>
      </c>
      <c r="M81" s="8" t="s">
        <v>53</v>
      </c>
      <c r="N81" s="8" t="s">
        <v>53</v>
      </c>
      <c r="O81" s="8" t="s">
        <v>53</v>
      </c>
      <c r="P81" s="8" t="s">
        <v>54</v>
      </c>
      <c r="Q81" s="8" t="s">
        <v>53</v>
      </c>
      <c r="R81" s="8" t="s">
        <v>55</v>
      </c>
      <c r="S81" s="8" t="s">
        <v>54</v>
      </c>
      <c r="T81" s="8" t="s">
        <v>54</v>
      </c>
      <c r="U81" s="8" t="s">
        <v>54</v>
      </c>
      <c r="V81" s="8" t="s">
        <v>53</v>
      </c>
      <c r="W81" s="8" t="s">
        <v>53</v>
      </c>
      <c r="X81" s="8" t="s">
        <v>55</v>
      </c>
      <c r="Y81" s="8" t="s">
        <v>54</v>
      </c>
      <c r="Z81" s="8" t="s">
        <v>54</v>
      </c>
      <c r="AA81" s="8" t="s">
        <v>54</v>
      </c>
      <c r="AB81" s="8" t="s">
        <v>55</v>
      </c>
      <c r="AC81" s="8" t="s">
        <v>55</v>
      </c>
      <c r="AD81" s="8" t="s">
        <v>54</v>
      </c>
      <c r="AE81" s="8" t="s">
        <v>53</v>
      </c>
      <c r="AF81" s="8" t="s">
        <v>56</v>
      </c>
      <c r="AG81" s="8" t="s">
        <v>57</v>
      </c>
      <c r="AH81" s="8" t="s">
        <v>56</v>
      </c>
      <c r="AI81" s="8" t="s">
        <v>57</v>
      </c>
      <c r="AJ81" s="8" t="s">
        <v>57</v>
      </c>
      <c r="AK81" s="8" t="s">
        <v>56</v>
      </c>
      <c r="AL81" s="8" t="s">
        <v>56</v>
      </c>
      <c r="AM81" s="8" t="s">
        <v>56</v>
      </c>
      <c r="AN81" s="8" t="s">
        <v>58</v>
      </c>
      <c r="AO81" s="8" t="s">
        <v>56</v>
      </c>
      <c r="AP81" s="8" t="s">
        <v>57</v>
      </c>
      <c r="AQ81" s="8" t="s">
        <v>57</v>
      </c>
      <c r="AR81" s="8" t="s">
        <v>56</v>
      </c>
      <c r="AS81" s="8" t="s">
        <v>57</v>
      </c>
      <c r="AT81" s="8" t="s">
        <v>56</v>
      </c>
      <c r="AU81" s="8" t="s">
        <v>57</v>
      </c>
      <c r="AV81" s="8" t="s">
        <v>57</v>
      </c>
      <c r="AW81" s="8" t="s">
        <v>57</v>
      </c>
    </row>
    <row r="82" spans="1:49" ht="16.05" customHeight="1" x14ac:dyDescent="0.3">
      <c r="A82" s="8" t="s">
        <v>300</v>
      </c>
      <c r="B82" s="8" t="s">
        <v>301</v>
      </c>
      <c r="C82" s="9">
        <v>46136.101724537039</v>
      </c>
      <c r="D82" s="10" t="s">
        <v>302</v>
      </c>
      <c r="E82" s="8" t="s">
        <v>212</v>
      </c>
      <c r="F82" s="8">
        <v>17</v>
      </c>
      <c r="G82" s="8" t="s">
        <v>53</v>
      </c>
      <c r="H82" s="8" t="s">
        <v>54</v>
      </c>
      <c r="I82" s="8" t="s">
        <v>55</v>
      </c>
      <c r="J82" s="8" t="s">
        <v>53</v>
      </c>
      <c r="K82" s="8" t="s">
        <v>54</v>
      </c>
      <c r="L82" s="8" t="s">
        <v>53</v>
      </c>
      <c r="M82" s="8" t="s">
        <v>54</v>
      </c>
      <c r="N82" s="8" t="s">
        <v>53</v>
      </c>
      <c r="O82" s="8" t="s">
        <v>53</v>
      </c>
      <c r="P82" s="8" t="s">
        <v>53</v>
      </c>
      <c r="Q82" s="8" t="s">
        <v>53</v>
      </c>
      <c r="R82" s="8" t="s">
        <v>55</v>
      </c>
      <c r="S82" s="8" t="s">
        <v>54</v>
      </c>
      <c r="T82" s="8" t="s">
        <v>53</v>
      </c>
      <c r="U82" s="8" t="s">
        <v>54</v>
      </c>
      <c r="V82" s="8" t="s">
        <v>53</v>
      </c>
      <c r="W82" s="8" t="s">
        <v>53</v>
      </c>
      <c r="X82" s="8" t="s">
        <v>55</v>
      </c>
      <c r="Y82" s="8" t="s">
        <v>55</v>
      </c>
      <c r="Z82" s="8" t="s">
        <v>54</v>
      </c>
      <c r="AA82" s="8" t="s">
        <v>53</v>
      </c>
      <c r="AB82" s="8" t="s">
        <v>55</v>
      </c>
      <c r="AC82" s="8" t="s">
        <v>54</v>
      </c>
      <c r="AD82" s="8" t="s">
        <v>55</v>
      </c>
      <c r="AE82" s="8" t="s">
        <v>53</v>
      </c>
      <c r="AF82" s="8" t="s">
        <v>59</v>
      </c>
      <c r="AG82" s="8" t="s">
        <v>57</v>
      </c>
      <c r="AH82" s="8" t="s">
        <v>56</v>
      </c>
      <c r="AI82" s="8" t="s">
        <v>58</v>
      </c>
      <c r="AJ82" s="8" t="s">
        <v>56</v>
      </c>
      <c r="AK82" s="8" t="s">
        <v>58</v>
      </c>
      <c r="AL82" s="8" t="s">
        <v>56</v>
      </c>
      <c r="AM82" s="8" t="s">
        <v>56</v>
      </c>
      <c r="AN82" s="8" t="s">
        <v>58</v>
      </c>
      <c r="AO82" s="8" t="s">
        <v>57</v>
      </c>
      <c r="AP82" s="8" t="s">
        <v>63</v>
      </c>
      <c r="AQ82" s="8" t="s">
        <v>58</v>
      </c>
      <c r="AR82" s="8" t="s">
        <v>57</v>
      </c>
      <c r="AS82" s="8" t="s">
        <v>57</v>
      </c>
      <c r="AT82" s="8" t="s">
        <v>56</v>
      </c>
      <c r="AU82" s="8" t="s">
        <v>57</v>
      </c>
      <c r="AV82" s="8" t="s">
        <v>58</v>
      </c>
      <c r="AW82" s="8" t="s">
        <v>57</v>
      </c>
    </row>
    <row r="83" spans="1:49" ht="16.05" customHeight="1" x14ac:dyDescent="0.3">
      <c r="A83" s="8" t="s">
        <v>303</v>
      </c>
      <c r="B83" s="8" t="s">
        <v>304</v>
      </c>
      <c r="C83" s="9">
        <v>46136.101770833331</v>
      </c>
      <c r="D83" s="10" t="s">
        <v>305</v>
      </c>
      <c r="E83" s="8" t="s">
        <v>212</v>
      </c>
      <c r="F83" s="8">
        <v>16</v>
      </c>
      <c r="G83" s="8" t="s">
        <v>53</v>
      </c>
      <c r="H83" s="8" t="s">
        <v>54</v>
      </c>
      <c r="I83" s="8" t="s">
        <v>54</v>
      </c>
      <c r="J83" s="8" t="s">
        <v>53</v>
      </c>
      <c r="K83" s="8" t="s">
        <v>54</v>
      </c>
      <c r="L83" s="8" t="s">
        <v>54</v>
      </c>
      <c r="M83" s="8" t="s">
        <v>54</v>
      </c>
      <c r="N83" s="8" t="s">
        <v>54</v>
      </c>
      <c r="O83" s="8" t="s">
        <v>53</v>
      </c>
      <c r="P83" s="8" t="s">
        <v>54</v>
      </c>
      <c r="Q83" s="8" t="s">
        <v>53</v>
      </c>
      <c r="R83" s="8" t="s">
        <v>55</v>
      </c>
      <c r="S83" s="8" t="s">
        <v>54</v>
      </c>
      <c r="T83" s="8" t="s">
        <v>54</v>
      </c>
      <c r="U83" s="8" t="s">
        <v>53</v>
      </c>
      <c r="V83" s="8" t="s">
        <v>53</v>
      </c>
      <c r="W83" s="8" t="s">
        <v>53</v>
      </c>
      <c r="X83" s="8" t="s">
        <v>54</v>
      </c>
      <c r="Y83" s="8" t="s">
        <v>55</v>
      </c>
      <c r="Z83" s="8" t="s">
        <v>54</v>
      </c>
      <c r="AA83" s="8" t="s">
        <v>53</v>
      </c>
      <c r="AB83" s="8" t="s">
        <v>55</v>
      </c>
      <c r="AC83" s="8" t="s">
        <v>54</v>
      </c>
      <c r="AD83" s="8" t="s">
        <v>54</v>
      </c>
      <c r="AE83" s="8" t="s">
        <v>54</v>
      </c>
      <c r="AF83" s="8" t="s">
        <v>57</v>
      </c>
      <c r="AG83" s="8" t="s">
        <v>58</v>
      </c>
      <c r="AH83" s="8" t="s">
        <v>56</v>
      </c>
      <c r="AI83" s="8" t="s">
        <v>56</v>
      </c>
      <c r="AJ83" s="8" t="s">
        <v>56</v>
      </c>
      <c r="AK83" s="8" t="s">
        <v>58</v>
      </c>
      <c r="AL83" s="8" t="s">
        <v>57</v>
      </c>
      <c r="AM83" s="8" t="s">
        <v>59</v>
      </c>
      <c r="AN83" s="8" t="s">
        <v>56</v>
      </c>
      <c r="AO83" s="8" t="s">
        <v>58</v>
      </c>
      <c r="AP83" s="8" t="s">
        <v>57</v>
      </c>
      <c r="AQ83" s="8" t="s">
        <v>63</v>
      </c>
      <c r="AR83" s="8" t="s">
        <v>56</v>
      </c>
      <c r="AS83" s="8" t="s">
        <v>58</v>
      </c>
      <c r="AT83" s="8" t="s">
        <v>57</v>
      </c>
      <c r="AU83" s="8" t="s">
        <v>57</v>
      </c>
      <c r="AV83" s="8" t="s">
        <v>58</v>
      </c>
      <c r="AW83" s="8" t="s">
        <v>57</v>
      </c>
    </row>
    <row r="84" spans="1:49" ht="16.05" customHeight="1" x14ac:dyDescent="0.3">
      <c r="A84" s="8" t="s">
        <v>306</v>
      </c>
      <c r="B84" s="8" t="s">
        <v>307</v>
      </c>
      <c r="C84" s="9">
        <v>46136.101782407408</v>
      </c>
      <c r="D84" s="10" t="s">
        <v>308</v>
      </c>
      <c r="E84" s="8" t="s">
        <v>212</v>
      </c>
      <c r="F84" s="8">
        <v>16</v>
      </c>
      <c r="G84" s="8" t="s">
        <v>53</v>
      </c>
      <c r="H84" s="8" t="s">
        <v>53</v>
      </c>
      <c r="I84" s="8" t="s">
        <v>54</v>
      </c>
      <c r="J84" s="8" t="s">
        <v>54</v>
      </c>
      <c r="K84" s="8" t="s">
        <v>54</v>
      </c>
      <c r="L84" s="8" t="s">
        <v>55</v>
      </c>
      <c r="M84" s="8" t="s">
        <v>55</v>
      </c>
      <c r="N84" s="8" t="s">
        <v>54</v>
      </c>
      <c r="O84" s="8" t="s">
        <v>54</v>
      </c>
      <c r="P84" s="8" t="s">
        <v>55</v>
      </c>
      <c r="Q84" s="8" t="s">
        <v>53</v>
      </c>
      <c r="R84" s="8" t="s">
        <v>55</v>
      </c>
      <c r="S84" s="8" t="s">
        <v>55</v>
      </c>
      <c r="T84" s="8" t="s">
        <v>54</v>
      </c>
      <c r="U84" s="8" t="s">
        <v>53</v>
      </c>
      <c r="V84" s="8" t="s">
        <v>54</v>
      </c>
      <c r="W84" s="8" t="s">
        <v>54</v>
      </c>
      <c r="X84" s="8" t="s">
        <v>54</v>
      </c>
      <c r="Y84" s="8" t="s">
        <v>55</v>
      </c>
      <c r="Z84" s="8" t="s">
        <v>54</v>
      </c>
      <c r="AA84" s="8" t="s">
        <v>53</v>
      </c>
      <c r="AB84" s="8" t="s">
        <v>55</v>
      </c>
      <c r="AC84" s="8" t="s">
        <v>55</v>
      </c>
      <c r="AD84" s="8" t="s">
        <v>54</v>
      </c>
      <c r="AE84" s="8" t="s">
        <v>54</v>
      </c>
      <c r="AF84" s="8" t="s">
        <v>59</v>
      </c>
      <c r="AG84" s="8" t="s">
        <v>57</v>
      </c>
      <c r="AH84" s="8" t="s">
        <v>56</v>
      </c>
      <c r="AI84" s="8" t="s">
        <v>58</v>
      </c>
      <c r="AJ84" s="8" t="s">
        <v>57</v>
      </c>
      <c r="AK84" s="8" t="s">
        <v>57</v>
      </c>
      <c r="AL84" s="8" t="s">
        <v>56</v>
      </c>
      <c r="AM84" s="8" t="s">
        <v>56</v>
      </c>
      <c r="AN84" s="8" t="s">
        <v>59</v>
      </c>
      <c r="AO84" s="8" t="s">
        <v>56</v>
      </c>
      <c r="AP84" s="8" t="s">
        <v>63</v>
      </c>
      <c r="AQ84" s="8" t="s">
        <v>56</v>
      </c>
      <c r="AR84" s="8" t="s">
        <v>59</v>
      </c>
      <c r="AS84" s="8" t="s">
        <v>57</v>
      </c>
      <c r="AT84" s="8" t="s">
        <v>59</v>
      </c>
      <c r="AU84" s="8" t="s">
        <v>57</v>
      </c>
      <c r="AV84" s="8" t="s">
        <v>56</v>
      </c>
      <c r="AW84" s="8" t="s">
        <v>58</v>
      </c>
    </row>
    <row r="85" spans="1:49" ht="16.05" customHeight="1" x14ac:dyDescent="0.3">
      <c r="A85" s="8" t="s">
        <v>309</v>
      </c>
      <c r="B85" s="8" t="s">
        <v>310</v>
      </c>
      <c r="C85" s="9">
        <v>46136.101875</v>
      </c>
      <c r="D85" s="10" t="s">
        <v>311</v>
      </c>
      <c r="E85" s="8" t="s">
        <v>212</v>
      </c>
      <c r="F85" s="8">
        <v>17</v>
      </c>
      <c r="G85" s="8" t="s">
        <v>55</v>
      </c>
      <c r="H85" s="8" t="s">
        <v>55</v>
      </c>
      <c r="I85" s="8" t="s">
        <v>55</v>
      </c>
      <c r="J85" s="8" t="s">
        <v>54</v>
      </c>
      <c r="K85" s="8" t="s">
        <v>55</v>
      </c>
      <c r="L85" s="8" t="s">
        <v>53</v>
      </c>
      <c r="M85" s="8" t="s">
        <v>54</v>
      </c>
      <c r="N85" s="8" t="s">
        <v>55</v>
      </c>
      <c r="O85" s="8" t="s">
        <v>54</v>
      </c>
      <c r="P85" s="8" t="s">
        <v>55</v>
      </c>
      <c r="Q85" s="8" t="s">
        <v>54</v>
      </c>
      <c r="R85" s="8" t="s">
        <v>55</v>
      </c>
      <c r="S85" s="8" t="s">
        <v>53</v>
      </c>
      <c r="T85" s="8" t="s">
        <v>55</v>
      </c>
      <c r="U85" s="8" t="s">
        <v>53</v>
      </c>
      <c r="V85" s="8" t="s">
        <v>55</v>
      </c>
      <c r="W85" s="8" t="s">
        <v>55</v>
      </c>
      <c r="X85" s="8" t="s">
        <v>55</v>
      </c>
      <c r="Y85" s="8" t="s">
        <v>55</v>
      </c>
      <c r="Z85" s="8" t="s">
        <v>55</v>
      </c>
      <c r="AA85" s="8" t="s">
        <v>54</v>
      </c>
      <c r="AB85" s="8" t="s">
        <v>55</v>
      </c>
      <c r="AC85" s="8" t="s">
        <v>53</v>
      </c>
      <c r="AD85" s="8" t="s">
        <v>53</v>
      </c>
      <c r="AE85" s="8" t="s">
        <v>53</v>
      </c>
      <c r="AF85" s="8" t="s">
        <v>59</v>
      </c>
      <c r="AG85" s="8" t="s">
        <v>59</v>
      </c>
      <c r="AH85" s="8" t="s">
        <v>59</v>
      </c>
      <c r="AI85" s="8" t="s">
        <v>57</v>
      </c>
      <c r="AJ85" s="8" t="s">
        <v>56</v>
      </c>
      <c r="AK85" s="8" t="s">
        <v>59</v>
      </c>
      <c r="AL85" s="8" t="s">
        <v>57</v>
      </c>
      <c r="AM85" s="8" t="s">
        <v>59</v>
      </c>
      <c r="AN85" s="8" t="s">
        <v>59</v>
      </c>
      <c r="AO85" s="8" t="s">
        <v>59</v>
      </c>
      <c r="AP85" s="8" t="s">
        <v>57</v>
      </c>
      <c r="AQ85" s="8" t="s">
        <v>57</v>
      </c>
      <c r="AR85" s="8" t="s">
        <v>56</v>
      </c>
      <c r="AS85" s="8" t="s">
        <v>58</v>
      </c>
      <c r="AT85" s="8" t="s">
        <v>59</v>
      </c>
      <c r="AU85" s="8" t="s">
        <v>59</v>
      </c>
      <c r="AV85" s="8" t="s">
        <v>59</v>
      </c>
      <c r="AW85" s="8" t="s">
        <v>59</v>
      </c>
    </row>
    <row r="86" spans="1:49" ht="16.05" customHeight="1" x14ac:dyDescent="0.3">
      <c r="A86" s="8" t="s">
        <v>312</v>
      </c>
      <c r="B86" s="8" t="s">
        <v>313</v>
      </c>
      <c r="C86" s="9">
        <v>46136.102222222216</v>
      </c>
      <c r="D86" s="10" t="s">
        <v>314</v>
      </c>
      <c r="E86" s="8" t="s">
        <v>212</v>
      </c>
      <c r="F86" s="8">
        <v>17</v>
      </c>
      <c r="G86" s="8" t="s">
        <v>53</v>
      </c>
      <c r="H86" s="8" t="s">
        <v>54</v>
      </c>
      <c r="I86" s="8" t="s">
        <v>54</v>
      </c>
      <c r="J86" s="8" t="s">
        <v>53</v>
      </c>
      <c r="K86" s="8" t="s">
        <v>54</v>
      </c>
      <c r="L86" s="8" t="s">
        <v>55</v>
      </c>
      <c r="M86" s="8" t="s">
        <v>54</v>
      </c>
      <c r="N86" s="8" t="s">
        <v>53</v>
      </c>
      <c r="O86" s="8" t="s">
        <v>54</v>
      </c>
      <c r="P86" s="8" t="s">
        <v>55</v>
      </c>
      <c r="Q86" s="8" t="s">
        <v>53</v>
      </c>
      <c r="R86" s="8" t="s">
        <v>55</v>
      </c>
      <c r="S86" s="8" t="s">
        <v>55</v>
      </c>
      <c r="T86" s="8" t="s">
        <v>55</v>
      </c>
      <c r="U86" s="8" t="s">
        <v>55</v>
      </c>
      <c r="V86" s="8" t="s">
        <v>54</v>
      </c>
      <c r="W86" s="8" t="s">
        <v>53</v>
      </c>
      <c r="X86" s="8" t="s">
        <v>55</v>
      </c>
      <c r="Y86" s="8" t="s">
        <v>55</v>
      </c>
      <c r="Z86" s="8" t="s">
        <v>54</v>
      </c>
      <c r="AA86" s="8" t="s">
        <v>54</v>
      </c>
      <c r="AB86" s="8" t="s">
        <v>55</v>
      </c>
      <c r="AC86" s="8" t="s">
        <v>55</v>
      </c>
      <c r="AD86" s="8" t="s">
        <v>54</v>
      </c>
      <c r="AE86" s="8" t="s">
        <v>54</v>
      </c>
      <c r="AF86" s="8" t="s">
        <v>58</v>
      </c>
      <c r="AG86" s="8" t="s">
        <v>58</v>
      </c>
      <c r="AH86" s="8" t="s">
        <v>57</v>
      </c>
      <c r="AI86" s="8" t="s">
        <v>63</v>
      </c>
      <c r="AJ86" s="8" t="s">
        <v>63</v>
      </c>
      <c r="AK86" s="8" t="s">
        <v>63</v>
      </c>
      <c r="AL86" s="8" t="s">
        <v>58</v>
      </c>
      <c r="AM86" s="8" t="s">
        <v>58</v>
      </c>
      <c r="AN86" s="8" t="s">
        <v>57</v>
      </c>
      <c r="AO86" s="8" t="s">
        <v>57</v>
      </c>
      <c r="AP86" s="8" t="s">
        <v>57</v>
      </c>
      <c r="AQ86" s="8" t="s">
        <v>58</v>
      </c>
      <c r="AR86" s="8" t="s">
        <v>58</v>
      </c>
      <c r="AS86" s="8" t="s">
        <v>57</v>
      </c>
      <c r="AT86" s="8" t="s">
        <v>63</v>
      </c>
      <c r="AU86" s="8" t="s">
        <v>58</v>
      </c>
      <c r="AV86" s="8" t="s">
        <v>63</v>
      </c>
      <c r="AW86" s="8" t="s">
        <v>58</v>
      </c>
    </row>
    <row r="87" spans="1:49" ht="16.05" customHeight="1" x14ac:dyDescent="0.3">
      <c r="A87" s="8" t="s">
        <v>315</v>
      </c>
      <c r="B87" s="8" t="s">
        <v>316</v>
      </c>
      <c r="C87" s="9">
        <v>46136.102314814823</v>
      </c>
      <c r="D87" s="10" t="s">
        <v>317</v>
      </c>
      <c r="E87" s="8" t="s">
        <v>212</v>
      </c>
      <c r="F87" s="8">
        <v>16</v>
      </c>
      <c r="G87" s="8" t="s">
        <v>53</v>
      </c>
      <c r="H87" s="8" t="s">
        <v>53</v>
      </c>
      <c r="I87" s="8" t="s">
        <v>55</v>
      </c>
      <c r="J87" s="8" t="s">
        <v>54</v>
      </c>
      <c r="K87" s="8" t="s">
        <v>55</v>
      </c>
      <c r="L87" s="8" t="s">
        <v>55</v>
      </c>
      <c r="M87" s="8" t="s">
        <v>54</v>
      </c>
      <c r="N87" s="8" t="s">
        <v>55</v>
      </c>
      <c r="O87" s="8" t="s">
        <v>53</v>
      </c>
      <c r="P87" s="8" t="s">
        <v>55</v>
      </c>
      <c r="Q87" s="8" t="s">
        <v>53</v>
      </c>
      <c r="R87" s="8" t="s">
        <v>55</v>
      </c>
      <c r="S87" s="8" t="s">
        <v>55</v>
      </c>
      <c r="T87" s="8" t="s">
        <v>53</v>
      </c>
      <c r="U87" s="8" t="s">
        <v>55</v>
      </c>
      <c r="V87" s="8" t="s">
        <v>55</v>
      </c>
      <c r="W87" s="8" t="s">
        <v>53</v>
      </c>
      <c r="X87" s="8" t="s">
        <v>55</v>
      </c>
      <c r="Y87" s="8" t="s">
        <v>55</v>
      </c>
      <c r="Z87" s="8" t="s">
        <v>53</v>
      </c>
      <c r="AA87" s="8" t="s">
        <v>53</v>
      </c>
      <c r="AB87" s="8" t="s">
        <v>55</v>
      </c>
      <c r="AC87" s="8" t="s">
        <v>54</v>
      </c>
      <c r="AD87" s="8" t="s">
        <v>55</v>
      </c>
      <c r="AE87" s="8" t="s">
        <v>53</v>
      </c>
      <c r="AF87" s="8" t="s">
        <v>58</v>
      </c>
      <c r="AG87" s="8" t="s">
        <v>58</v>
      </c>
      <c r="AH87" s="8" t="s">
        <v>57</v>
      </c>
      <c r="AI87" s="8" t="s">
        <v>63</v>
      </c>
      <c r="AJ87" s="8" t="s">
        <v>58</v>
      </c>
      <c r="AK87" s="8" t="s">
        <v>58</v>
      </c>
      <c r="AL87" s="8" t="s">
        <v>63</v>
      </c>
      <c r="AM87" s="8" t="s">
        <v>57</v>
      </c>
      <c r="AN87" s="8" t="s">
        <v>58</v>
      </c>
      <c r="AO87" s="8" t="s">
        <v>57</v>
      </c>
      <c r="AP87" s="8" t="s">
        <v>63</v>
      </c>
      <c r="AQ87" s="8" t="s">
        <v>63</v>
      </c>
      <c r="AR87" s="8" t="s">
        <v>63</v>
      </c>
      <c r="AS87" s="8" t="s">
        <v>58</v>
      </c>
      <c r="AT87" s="8" t="s">
        <v>63</v>
      </c>
      <c r="AU87" s="8" t="s">
        <v>63</v>
      </c>
      <c r="AV87" s="8" t="s">
        <v>63</v>
      </c>
      <c r="AW87" s="8" t="s">
        <v>63</v>
      </c>
    </row>
    <row r="88" spans="1:49" ht="16.05" customHeight="1" x14ac:dyDescent="0.3">
      <c r="A88" s="8" t="s">
        <v>318</v>
      </c>
      <c r="B88" s="8" t="s">
        <v>319</v>
      </c>
      <c r="C88" s="9">
        <v>46136.10261574074</v>
      </c>
      <c r="D88" s="10" t="s">
        <v>320</v>
      </c>
      <c r="E88" s="8" t="s">
        <v>212</v>
      </c>
      <c r="F88" s="8">
        <v>17</v>
      </c>
      <c r="G88" s="8" t="s">
        <v>53</v>
      </c>
      <c r="H88" s="8" t="s">
        <v>54</v>
      </c>
      <c r="I88" s="8" t="s">
        <v>55</v>
      </c>
      <c r="J88" s="8" t="s">
        <v>53</v>
      </c>
      <c r="K88" s="8" t="s">
        <v>55</v>
      </c>
      <c r="L88" s="8" t="s">
        <v>54</v>
      </c>
      <c r="M88" s="8" t="s">
        <v>54</v>
      </c>
      <c r="N88" s="8" t="s">
        <v>55</v>
      </c>
      <c r="O88" s="8" t="s">
        <v>53</v>
      </c>
      <c r="P88" s="8" t="s">
        <v>54</v>
      </c>
      <c r="Q88" s="8" t="s">
        <v>53</v>
      </c>
      <c r="R88" s="8" t="s">
        <v>55</v>
      </c>
      <c r="S88" s="8" t="s">
        <v>55</v>
      </c>
      <c r="T88" s="8" t="s">
        <v>54</v>
      </c>
      <c r="U88" s="8" t="s">
        <v>55</v>
      </c>
      <c r="V88" s="8" t="s">
        <v>53</v>
      </c>
      <c r="W88" s="8" t="s">
        <v>53</v>
      </c>
      <c r="X88" s="8" t="s">
        <v>55</v>
      </c>
      <c r="Y88" s="8" t="s">
        <v>55</v>
      </c>
      <c r="Z88" s="8" t="s">
        <v>54</v>
      </c>
      <c r="AA88" s="8" t="s">
        <v>53</v>
      </c>
      <c r="AB88" s="8" t="s">
        <v>55</v>
      </c>
      <c r="AC88" s="8" t="s">
        <v>55</v>
      </c>
      <c r="AD88" s="8" t="s">
        <v>54</v>
      </c>
      <c r="AE88" s="8" t="s">
        <v>53</v>
      </c>
      <c r="AF88" s="8" t="s">
        <v>58</v>
      </c>
      <c r="AG88" s="8" t="s">
        <v>58</v>
      </c>
      <c r="AH88" s="8" t="s">
        <v>57</v>
      </c>
      <c r="AI88" s="8" t="s">
        <v>63</v>
      </c>
      <c r="AJ88" s="8" t="s">
        <v>58</v>
      </c>
      <c r="AK88" s="8" t="s">
        <v>58</v>
      </c>
      <c r="AL88" s="8" t="s">
        <v>63</v>
      </c>
      <c r="AM88" s="8" t="s">
        <v>57</v>
      </c>
      <c r="AN88" s="8" t="s">
        <v>58</v>
      </c>
      <c r="AO88" s="8" t="s">
        <v>57</v>
      </c>
      <c r="AP88" s="8" t="s">
        <v>63</v>
      </c>
      <c r="AQ88" s="8" t="s">
        <v>58</v>
      </c>
      <c r="AR88" s="8" t="s">
        <v>58</v>
      </c>
      <c r="AS88" s="8" t="s">
        <v>63</v>
      </c>
      <c r="AT88" s="8" t="s">
        <v>57</v>
      </c>
      <c r="AU88" s="8" t="s">
        <v>58</v>
      </c>
      <c r="AV88" s="8" t="s">
        <v>58</v>
      </c>
      <c r="AW88" s="8" t="s">
        <v>58</v>
      </c>
    </row>
    <row r="89" spans="1:49" ht="16.05" customHeight="1" x14ac:dyDescent="0.3">
      <c r="A89" s="8" t="s">
        <v>321</v>
      </c>
      <c r="B89" s="8" t="s">
        <v>322</v>
      </c>
      <c r="C89" s="9">
        <v>46136.102708333332</v>
      </c>
      <c r="D89" s="10" t="s">
        <v>323</v>
      </c>
      <c r="E89" s="8" t="s">
        <v>212</v>
      </c>
      <c r="F89" s="8">
        <v>16</v>
      </c>
      <c r="G89" s="8" t="s">
        <v>53</v>
      </c>
      <c r="H89" s="8" t="s">
        <v>55</v>
      </c>
      <c r="I89" s="8" t="s">
        <v>54</v>
      </c>
      <c r="J89" s="8" t="s">
        <v>54</v>
      </c>
      <c r="K89" s="8" t="s">
        <v>54</v>
      </c>
      <c r="L89" s="8" t="s">
        <v>55</v>
      </c>
      <c r="M89" s="8" t="s">
        <v>54</v>
      </c>
      <c r="N89" s="8" t="s">
        <v>54</v>
      </c>
      <c r="O89" s="8" t="s">
        <v>53</v>
      </c>
      <c r="P89" s="8" t="s">
        <v>55</v>
      </c>
      <c r="Q89" s="8" t="s">
        <v>53</v>
      </c>
      <c r="R89" s="8" t="s">
        <v>55</v>
      </c>
      <c r="S89" s="8" t="s">
        <v>54</v>
      </c>
      <c r="T89" s="8" t="s">
        <v>54</v>
      </c>
      <c r="U89" s="8" t="s">
        <v>55</v>
      </c>
      <c r="V89" s="8" t="s">
        <v>54</v>
      </c>
      <c r="W89" s="8" t="s">
        <v>53</v>
      </c>
      <c r="X89" s="8" t="s">
        <v>55</v>
      </c>
      <c r="Y89" s="8" t="s">
        <v>54</v>
      </c>
      <c r="Z89" s="8" t="s">
        <v>53</v>
      </c>
      <c r="AA89" s="8" t="s">
        <v>53</v>
      </c>
      <c r="AB89" s="8" t="s">
        <v>55</v>
      </c>
      <c r="AC89" s="8" t="s">
        <v>54</v>
      </c>
      <c r="AD89" s="8" t="s">
        <v>53</v>
      </c>
      <c r="AE89" s="8" t="s">
        <v>53</v>
      </c>
      <c r="AF89" s="8" t="s">
        <v>56</v>
      </c>
      <c r="AG89" s="8" t="s">
        <v>58</v>
      </c>
      <c r="AH89" s="8" t="s">
        <v>57</v>
      </c>
      <c r="AI89" s="8" t="s">
        <v>58</v>
      </c>
      <c r="AJ89" s="8" t="s">
        <v>58</v>
      </c>
      <c r="AK89" s="8" t="s">
        <v>63</v>
      </c>
      <c r="AL89" s="8" t="s">
        <v>63</v>
      </c>
      <c r="AM89" s="8" t="s">
        <v>57</v>
      </c>
      <c r="AN89" s="8" t="s">
        <v>58</v>
      </c>
      <c r="AO89" s="8" t="s">
        <v>63</v>
      </c>
      <c r="AP89" s="8" t="s">
        <v>63</v>
      </c>
      <c r="AQ89" s="8" t="s">
        <v>63</v>
      </c>
      <c r="AR89" s="8" t="s">
        <v>63</v>
      </c>
      <c r="AS89" s="8" t="s">
        <v>57</v>
      </c>
      <c r="AT89" s="8" t="s">
        <v>58</v>
      </c>
      <c r="AU89" s="8" t="s">
        <v>58</v>
      </c>
      <c r="AV89" s="8" t="s">
        <v>63</v>
      </c>
      <c r="AW89" s="8" t="s">
        <v>58</v>
      </c>
    </row>
    <row r="90" spans="1:49" ht="16.05" customHeight="1" x14ac:dyDescent="0.3">
      <c r="A90" s="8" t="s">
        <v>324</v>
      </c>
      <c r="B90" s="8" t="s">
        <v>325</v>
      </c>
      <c r="C90" s="9">
        <v>46136.104467592602</v>
      </c>
      <c r="D90" s="10" t="s">
        <v>326</v>
      </c>
      <c r="E90" s="8" t="s">
        <v>212</v>
      </c>
      <c r="F90" s="8">
        <v>17</v>
      </c>
      <c r="G90" s="8" t="s">
        <v>53</v>
      </c>
      <c r="H90" s="8" t="s">
        <v>55</v>
      </c>
      <c r="I90" s="8" t="s">
        <v>55</v>
      </c>
      <c r="J90" s="8" t="s">
        <v>54</v>
      </c>
      <c r="K90" s="8" t="s">
        <v>54</v>
      </c>
      <c r="L90" s="8" t="s">
        <v>54</v>
      </c>
      <c r="M90" s="8" t="s">
        <v>54</v>
      </c>
      <c r="N90" s="8" t="s">
        <v>54</v>
      </c>
      <c r="O90" s="8" t="s">
        <v>53</v>
      </c>
      <c r="P90" s="8" t="s">
        <v>55</v>
      </c>
      <c r="Q90" s="8" t="s">
        <v>53</v>
      </c>
      <c r="R90" s="8" t="s">
        <v>55</v>
      </c>
      <c r="S90" s="8" t="s">
        <v>54</v>
      </c>
      <c r="T90" s="8" t="s">
        <v>53</v>
      </c>
      <c r="U90" s="8" t="s">
        <v>55</v>
      </c>
      <c r="V90" s="8" t="s">
        <v>54</v>
      </c>
      <c r="W90" s="8" t="s">
        <v>53</v>
      </c>
      <c r="X90" s="8" t="s">
        <v>55</v>
      </c>
      <c r="Y90" s="8" t="s">
        <v>54</v>
      </c>
      <c r="Z90" s="8" t="s">
        <v>53</v>
      </c>
      <c r="AA90" s="8" t="s">
        <v>53</v>
      </c>
      <c r="AB90" s="8" t="s">
        <v>55</v>
      </c>
      <c r="AC90" s="8" t="s">
        <v>55</v>
      </c>
      <c r="AD90" s="8" t="s">
        <v>55</v>
      </c>
      <c r="AE90" s="8" t="s">
        <v>54</v>
      </c>
      <c r="AF90" s="8" t="s">
        <v>57</v>
      </c>
      <c r="AG90" s="8" t="s">
        <v>56</v>
      </c>
      <c r="AH90" s="8" t="s">
        <v>57</v>
      </c>
      <c r="AI90" s="8" t="s">
        <v>56</v>
      </c>
      <c r="AJ90" s="8" t="s">
        <v>56</v>
      </c>
      <c r="AK90" s="8" t="s">
        <v>58</v>
      </c>
      <c r="AL90" s="8" t="s">
        <v>57</v>
      </c>
      <c r="AM90" s="8" t="s">
        <v>58</v>
      </c>
      <c r="AN90" s="8" t="s">
        <v>57</v>
      </c>
      <c r="AO90" s="8" t="s">
        <v>58</v>
      </c>
      <c r="AP90" s="8" t="s">
        <v>58</v>
      </c>
      <c r="AQ90" s="8" t="s">
        <v>56</v>
      </c>
      <c r="AR90" s="8" t="s">
        <v>56</v>
      </c>
      <c r="AS90" s="8" t="s">
        <v>57</v>
      </c>
      <c r="AT90" s="8" t="s">
        <v>58</v>
      </c>
      <c r="AU90" s="8" t="s">
        <v>58</v>
      </c>
      <c r="AV90" s="8" t="s">
        <v>56</v>
      </c>
      <c r="AW90" s="8" t="s">
        <v>57</v>
      </c>
    </row>
    <row r="91" spans="1:49" ht="16.05" customHeight="1" x14ac:dyDescent="0.3">
      <c r="A91" s="8" t="s">
        <v>327</v>
      </c>
      <c r="B91" s="8" t="s">
        <v>328</v>
      </c>
      <c r="C91" s="9">
        <v>46136.104814814818</v>
      </c>
      <c r="D91" s="10" t="s">
        <v>329</v>
      </c>
      <c r="E91" s="9" t="s">
        <v>212</v>
      </c>
      <c r="F91" s="8">
        <v>16</v>
      </c>
      <c r="G91" s="8" t="s">
        <v>53</v>
      </c>
      <c r="H91" s="8" t="s">
        <v>54</v>
      </c>
      <c r="I91" s="8" t="s">
        <v>55</v>
      </c>
      <c r="J91" s="8" t="s">
        <v>53</v>
      </c>
      <c r="K91" s="8" t="s">
        <v>54</v>
      </c>
      <c r="L91" s="8" t="s">
        <v>55</v>
      </c>
      <c r="M91" s="8" t="s">
        <v>54</v>
      </c>
      <c r="N91" s="8" t="s">
        <v>54</v>
      </c>
      <c r="O91" s="8" t="s">
        <v>53</v>
      </c>
      <c r="P91" s="8" t="s">
        <v>53</v>
      </c>
      <c r="Q91" s="8" t="s">
        <v>53</v>
      </c>
      <c r="R91" s="8" t="s">
        <v>55</v>
      </c>
      <c r="S91" s="8" t="s">
        <v>55</v>
      </c>
      <c r="T91" s="8" t="s">
        <v>54</v>
      </c>
      <c r="U91" s="8" t="s">
        <v>54</v>
      </c>
      <c r="V91" s="8" t="s">
        <v>55</v>
      </c>
      <c r="W91" s="8" t="s">
        <v>53</v>
      </c>
      <c r="X91" s="8" t="s">
        <v>55</v>
      </c>
      <c r="Y91" s="8" t="s">
        <v>55</v>
      </c>
      <c r="Z91" s="8" t="s">
        <v>54</v>
      </c>
      <c r="AA91" s="8" t="s">
        <v>54</v>
      </c>
      <c r="AB91" s="8" t="s">
        <v>55</v>
      </c>
      <c r="AC91" s="8" t="s">
        <v>53</v>
      </c>
      <c r="AD91" s="8" t="s">
        <v>55</v>
      </c>
      <c r="AE91" s="8" t="s">
        <v>53</v>
      </c>
      <c r="AF91" s="8" t="s">
        <v>57</v>
      </c>
      <c r="AG91" s="8" t="s">
        <v>58</v>
      </c>
      <c r="AH91" s="8" t="s">
        <v>57</v>
      </c>
      <c r="AI91" s="8" t="s">
        <v>63</v>
      </c>
      <c r="AJ91" s="8" t="s">
        <v>57</v>
      </c>
      <c r="AK91" s="8" t="s">
        <v>56</v>
      </c>
      <c r="AL91" s="8" t="s">
        <v>58</v>
      </c>
      <c r="AM91" s="8" t="s">
        <v>58</v>
      </c>
      <c r="AN91" s="8" t="s">
        <v>63</v>
      </c>
      <c r="AO91" s="8" t="s">
        <v>57</v>
      </c>
      <c r="AP91" s="8" t="s">
        <v>58</v>
      </c>
      <c r="AQ91" s="8" t="s">
        <v>63</v>
      </c>
      <c r="AR91" s="8" t="s">
        <v>63</v>
      </c>
      <c r="AS91" s="8" t="s">
        <v>63</v>
      </c>
      <c r="AT91" s="8" t="s">
        <v>63</v>
      </c>
      <c r="AU91" s="8" t="s">
        <v>57</v>
      </c>
      <c r="AV91" s="8" t="s">
        <v>58</v>
      </c>
      <c r="AW91" s="8" t="s">
        <v>58</v>
      </c>
    </row>
    <row r="92" spans="1:49" ht="16.05" customHeight="1" x14ac:dyDescent="0.3">
      <c r="A92" s="8" t="s">
        <v>330</v>
      </c>
      <c r="B92" s="8" t="s">
        <v>331</v>
      </c>
      <c r="C92" s="9">
        <v>46136.114363425928</v>
      </c>
      <c r="D92" s="10" t="s">
        <v>332</v>
      </c>
      <c r="E92" s="8" t="s">
        <v>121</v>
      </c>
      <c r="F92" s="8">
        <v>17</v>
      </c>
      <c r="G92" s="8" t="s">
        <v>53</v>
      </c>
      <c r="H92" s="8" t="s">
        <v>54</v>
      </c>
      <c r="I92" s="8" t="s">
        <v>54</v>
      </c>
      <c r="J92" s="8" t="s">
        <v>53</v>
      </c>
      <c r="K92" s="8" t="s">
        <v>55</v>
      </c>
      <c r="L92" s="8" t="s">
        <v>54</v>
      </c>
      <c r="M92" s="8" t="s">
        <v>54</v>
      </c>
      <c r="N92" s="8" t="s">
        <v>53</v>
      </c>
      <c r="O92" s="8" t="s">
        <v>53</v>
      </c>
      <c r="P92" s="8" t="s">
        <v>54</v>
      </c>
      <c r="Q92" s="8" t="s">
        <v>53</v>
      </c>
      <c r="R92" s="8" t="s">
        <v>55</v>
      </c>
      <c r="S92" s="8" t="s">
        <v>54</v>
      </c>
      <c r="T92" s="8" t="s">
        <v>54</v>
      </c>
      <c r="U92" s="8" t="s">
        <v>54</v>
      </c>
      <c r="V92" s="8" t="s">
        <v>53</v>
      </c>
      <c r="W92" s="8" t="s">
        <v>53</v>
      </c>
      <c r="X92" s="8" t="s">
        <v>55</v>
      </c>
      <c r="Y92" s="8" t="s">
        <v>55</v>
      </c>
      <c r="Z92" s="8" t="s">
        <v>54</v>
      </c>
      <c r="AA92" s="8" t="s">
        <v>53</v>
      </c>
      <c r="AB92" s="8" t="s">
        <v>55</v>
      </c>
      <c r="AC92" s="8" t="s">
        <v>54</v>
      </c>
      <c r="AD92" s="8" t="s">
        <v>54</v>
      </c>
      <c r="AE92" s="8" t="s">
        <v>53</v>
      </c>
      <c r="AF92" s="8" t="s">
        <v>57</v>
      </c>
      <c r="AG92" s="8" t="s">
        <v>58</v>
      </c>
      <c r="AH92" s="8" t="s">
        <v>58</v>
      </c>
      <c r="AI92" s="8" t="s">
        <v>58</v>
      </c>
      <c r="AJ92" s="8" t="s">
        <v>63</v>
      </c>
      <c r="AK92" s="8" t="s">
        <v>63</v>
      </c>
      <c r="AL92" s="8" t="s">
        <v>57</v>
      </c>
      <c r="AM92" s="8" t="s">
        <v>57</v>
      </c>
      <c r="AN92" s="8" t="s">
        <v>57</v>
      </c>
      <c r="AO92" s="8" t="s">
        <v>57</v>
      </c>
      <c r="AP92" s="8" t="s">
        <v>57</v>
      </c>
      <c r="AQ92" s="8" t="s">
        <v>57</v>
      </c>
      <c r="AR92" s="8" t="s">
        <v>58</v>
      </c>
      <c r="AS92" s="8" t="s">
        <v>57</v>
      </c>
      <c r="AT92" s="8" t="s">
        <v>56</v>
      </c>
      <c r="AU92" s="8" t="s">
        <v>58</v>
      </c>
      <c r="AV92" s="8" t="s">
        <v>57</v>
      </c>
      <c r="AW92" s="8" t="s">
        <v>58</v>
      </c>
    </row>
    <row r="93" spans="1:49" ht="16.05" customHeight="1" x14ac:dyDescent="0.3">
      <c r="A93" s="8" t="s">
        <v>333</v>
      </c>
      <c r="B93" s="8" t="s">
        <v>334</v>
      </c>
      <c r="C93" s="9">
        <v>46136.121481481481</v>
      </c>
      <c r="D93" s="10" t="s">
        <v>335</v>
      </c>
      <c r="E93" s="8" t="s">
        <v>52</v>
      </c>
      <c r="F93" s="8">
        <v>17</v>
      </c>
      <c r="G93" s="8" t="s">
        <v>53</v>
      </c>
      <c r="H93" s="8" t="s">
        <v>53</v>
      </c>
      <c r="I93" s="8" t="s">
        <v>54</v>
      </c>
      <c r="J93" s="8" t="s">
        <v>54</v>
      </c>
      <c r="K93" s="8" t="s">
        <v>54</v>
      </c>
      <c r="L93" s="8" t="s">
        <v>55</v>
      </c>
      <c r="M93" s="8" t="s">
        <v>54</v>
      </c>
      <c r="N93" s="8" t="s">
        <v>53</v>
      </c>
      <c r="O93" s="8" t="s">
        <v>54</v>
      </c>
      <c r="P93" s="8" t="s">
        <v>54</v>
      </c>
      <c r="Q93" s="8" t="s">
        <v>53</v>
      </c>
      <c r="R93" s="8" t="s">
        <v>55</v>
      </c>
      <c r="S93" s="8" t="s">
        <v>53</v>
      </c>
      <c r="T93" s="8" t="s">
        <v>54</v>
      </c>
      <c r="U93" s="8" t="s">
        <v>53</v>
      </c>
      <c r="V93" s="8" t="s">
        <v>54</v>
      </c>
      <c r="W93" s="8" t="s">
        <v>54</v>
      </c>
      <c r="X93" s="8" t="s">
        <v>55</v>
      </c>
      <c r="Y93" s="8" t="s">
        <v>55</v>
      </c>
      <c r="Z93" s="8" t="s">
        <v>54</v>
      </c>
      <c r="AA93" s="8" t="s">
        <v>54</v>
      </c>
      <c r="AB93" s="8" t="s">
        <v>55</v>
      </c>
      <c r="AC93" s="8" t="s">
        <v>55</v>
      </c>
      <c r="AD93" s="8" t="s">
        <v>53</v>
      </c>
      <c r="AE93" s="8" t="s">
        <v>55</v>
      </c>
      <c r="AF93" s="8" t="s">
        <v>57</v>
      </c>
      <c r="AG93" s="8" t="s">
        <v>58</v>
      </c>
      <c r="AH93" s="8" t="s">
        <v>57</v>
      </c>
      <c r="AI93" s="8" t="s">
        <v>63</v>
      </c>
      <c r="AJ93" s="8" t="s">
        <v>63</v>
      </c>
      <c r="AK93" s="8" t="s">
        <v>63</v>
      </c>
      <c r="AL93" s="8" t="s">
        <v>57</v>
      </c>
      <c r="AM93" s="8" t="s">
        <v>59</v>
      </c>
      <c r="AN93" s="8" t="s">
        <v>63</v>
      </c>
      <c r="AO93" s="8" t="s">
        <v>59</v>
      </c>
      <c r="AP93" s="8" t="s">
        <v>57</v>
      </c>
      <c r="AQ93" s="8" t="s">
        <v>58</v>
      </c>
      <c r="AR93" s="8" t="s">
        <v>56</v>
      </c>
      <c r="AS93" s="8" t="s">
        <v>57</v>
      </c>
      <c r="AT93" s="8" t="s">
        <v>58</v>
      </c>
      <c r="AU93" s="8" t="s">
        <v>58</v>
      </c>
      <c r="AV93" s="8" t="s">
        <v>58</v>
      </c>
      <c r="AW93" s="8" t="s">
        <v>56</v>
      </c>
    </row>
    <row r="94" spans="1:49" ht="16.05" customHeight="1" x14ac:dyDescent="0.3">
      <c r="A94" s="8" t="s">
        <v>336</v>
      </c>
      <c r="B94" s="8" t="s">
        <v>337</v>
      </c>
      <c r="C94" s="9">
        <v>46136.125451388893</v>
      </c>
      <c r="D94" s="10" t="s">
        <v>338</v>
      </c>
      <c r="E94" s="8" t="s">
        <v>339</v>
      </c>
      <c r="F94" s="8">
        <v>17</v>
      </c>
      <c r="G94" s="8" t="s">
        <v>53</v>
      </c>
      <c r="H94" s="8" t="s">
        <v>55</v>
      </c>
      <c r="I94" s="8" t="s">
        <v>55</v>
      </c>
      <c r="J94" s="8" t="s">
        <v>53</v>
      </c>
      <c r="K94" s="8" t="s">
        <v>55</v>
      </c>
      <c r="L94" s="8" t="s">
        <v>55</v>
      </c>
      <c r="M94" s="8" t="s">
        <v>55</v>
      </c>
      <c r="N94" s="8" t="s">
        <v>55</v>
      </c>
      <c r="O94" s="8" t="s">
        <v>53</v>
      </c>
      <c r="P94" s="8" t="s">
        <v>55</v>
      </c>
      <c r="Q94" s="8" t="s">
        <v>53</v>
      </c>
      <c r="R94" s="8" t="s">
        <v>55</v>
      </c>
      <c r="S94" s="8" t="s">
        <v>55</v>
      </c>
      <c r="T94" s="8" t="s">
        <v>53</v>
      </c>
      <c r="U94" s="8" t="s">
        <v>55</v>
      </c>
      <c r="V94" s="8" t="s">
        <v>55</v>
      </c>
      <c r="W94" s="8" t="s">
        <v>53</v>
      </c>
      <c r="X94" s="8" t="s">
        <v>55</v>
      </c>
      <c r="Y94" s="8" t="s">
        <v>55</v>
      </c>
      <c r="Z94" s="8" t="s">
        <v>53</v>
      </c>
      <c r="AA94" s="8" t="s">
        <v>53</v>
      </c>
      <c r="AB94" s="8" t="s">
        <v>55</v>
      </c>
      <c r="AC94" s="8" t="s">
        <v>55</v>
      </c>
      <c r="AD94" s="8" t="s">
        <v>55</v>
      </c>
      <c r="AE94" s="8" t="s">
        <v>53</v>
      </c>
      <c r="AF94" s="8" t="s">
        <v>63</v>
      </c>
      <c r="AG94" s="8" t="s">
        <v>63</v>
      </c>
      <c r="AH94" s="8" t="s">
        <v>63</v>
      </c>
      <c r="AI94" s="8" t="s">
        <v>63</v>
      </c>
      <c r="AJ94" s="8" t="s">
        <v>63</v>
      </c>
      <c r="AK94" s="8" t="s">
        <v>63</v>
      </c>
      <c r="AL94" s="8" t="s">
        <v>63</v>
      </c>
      <c r="AM94" s="8" t="s">
        <v>63</v>
      </c>
      <c r="AN94" s="8" t="s">
        <v>63</v>
      </c>
      <c r="AO94" s="8" t="s">
        <v>63</v>
      </c>
      <c r="AP94" s="8" t="s">
        <v>63</v>
      </c>
      <c r="AQ94" s="8" t="s">
        <v>63</v>
      </c>
      <c r="AR94" s="8" t="s">
        <v>63</v>
      </c>
      <c r="AS94" s="8" t="s">
        <v>63</v>
      </c>
      <c r="AT94" s="8" t="s">
        <v>63</v>
      </c>
      <c r="AU94" s="8" t="s">
        <v>63</v>
      </c>
      <c r="AV94" s="8" t="s">
        <v>63</v>
      </c>
      <c r="AW94" s="8" t="s">
        <v>63</v>
      </c>
    </row>
    <row r="95" spans="1:49" ht="16.05" customHeight="1" x14ac:dyDescent="0.3">
      <c r="A95" s="8" t="s">
        <v>340</v>
      </c>
      <c r="B95" s="8" t="s">
        <v>341</v>
      </c>
      <c r="C95" s="9">
        <v>46136.125578703701</v>
      </c>
      <c r="D95" s="10" t="s">
        <v>342</v>
      </c>
      <c r="E95" s="8" t="s">
        <v>339</v>
      </c>
      <c r="F95" s="8">
        <v>17</v>
      </c>
      <c r="G95" s="8" t="s">
        <v>53</v>
      </c>
      <c r="H95" s="8" t="s">
        <v>55</v>
      </c>
      <c r="I95" s="8" t="s">
        <v>55</v>
      </c>
      <c r="J95" s="8" t="s">
        <v>54</v>
      </c>
      <c r="K95" s="8" t="s">
        <v>55</v>
      </c>
      <c r="L95" s="8" t="s">
        <v>55</v>
      </c>
      <c r="M95" s="8" t="s">
        <v>55</v>
      </c>
      <c r="N95" s="8" t="s">
        <v>55</v>
      </c>
      <c r="O95" s="8" t="s">
        <v>53</v>
      </c>
      <c r="P95" s="8" t="s">
        <v>54</v>
      </c>
      <c r="Q95" s="8" t="s">
        <v>53</v>
      </c>
      <c r="R95" s="8" t="s">
        <v>54</v>
      </c>
      <c r="S95" s="8" t="s">
        <v>53</v>
      </c>
      <c r="T95" s="8" t="s">
        <v>54</v>
      </c>
      <c r="U95" s="8" t="s">
        <v>55</v>
      </c>
      <c r="V95" s="8" t="s">
        <v>53</v>
      </c>
      <c r="W95" s="8" t="s">
        <v>53</v>
      </c>
      <c r="X95" s="8" t="s">
        <v>54</v>
      </c>
      <c r="Y95" s="8" t="s">
        <v>55</v>
      </c>
      <c r="Z95" s="8" t="s">
        <v>53</v>
      </c>
      <c r="AA95" s="8" t="s">
        <v>53</v>
      </c>
      <c r="AB95" s="8" t="s">
        <v>55</v>
      </c>
      <c r="AC95" s="8" t="s">
        <v>54</v>
      </c>
      <c r="AD95" s="8" t="s">
        <v>55</v>
      </c>
      <c r="AE95" s="8" t="s">
        <v>53</v>
      </c>
      <c r="AF95" s="8" t="s">
        <v>57</v>
      </c>
      <c r="AG95" s="8" t="s">
        <v>58</v>
      </c>
      <c r="AH95" s="8" t="s">
        <v>58</v>
      </c>
      <c r="AI95" s="8" t="s">
        <v>63</v>
      </c>
      <c r="AJ95" s="8" t="s">
        <v>63</v>
      </c>
      <c r="AK95" s="8" t="s">
        <v>63</v>
      </c>
      <c r="AL95" s="8" t="s">
        <v>63</v>
      </c>
      <c r="AM95" s="8" t="s">
        <v>57</v>
      </c>
      <c r="AN95" s="8" t="s">
        <v>57</v>
      </c>
      <c r="AO95" s="8" t="s">
        <v>56</v>
      </c>
      <c r="AP95" s="8" t="s">
        <v>57</v>
      </c>
      <c r="AQ95" s="8" t="s">
        <v>58</v>
      </c>
      <c r="AR95" s="8" t="s">
        <v>58</v>
      </c>
      <c r="AS95" s="8" t="s">
        <v>58</v>
      </c>
      <c r="AT95" s="8" t="s">
        <v>58</v>
      </c>
      <c r="AU95" s="8" t="s">
        <v>63</v>
      </c>
      <c r="AV95" s="8" t="s">
        <v>63</v>
      </c>
      <c r="AW95" s="8" t="s">
        <v>63</v>
      </c>
    </row>
    <row r="96" spans="1:49" ht="16.05" customHeight="1" x14ac:dyDescent="0.3">
      <c r="A96" s="8" t="s">
        <v>343</v>
      </c>
      <c r="B96" s="8" t="s">
        <v>344</v>
      </c>
      <c r="C96" s="9">
        <v>46136.125671296293</v>
      </c>
      <c r="D96" s="10" t="s">
        <v>345</v>
      </c>
      <c r="E96" s="8" t="s">
        <v>339</v>
      </c>
      <c r="F96" s="8">
        <v>17</v>
      </c>
      <c r="G96" s="8" t="s">
        <v>53</v>
      </c>
      <c r="H96" s="8" t="s">
        <v>55</v>
      </c>
      <c r="I96" s="8" t="s">
        <v>55</v>
      </c>
      <c r="J96" s="8" t="s">
        <v>54</v>
      </c>
      <c r="K96" s="8" t="s">
        <v>55</v>
      </c>
      <c r="L96" s="8" t="s">
        <v>55</v>
      </c>
      <c r="M96" s="8" t="s">
        <v>53</v>
      </c>
      <c r="N96" s="8" t="s">
        <v>53</v>
      </c>
      <c r="O96" s="8" t="s">
        <v>53</v>
      </c>
      <c r="P96" s="8" t="s">
        <v>54</v>
      </c>
      <c r="Q96" s="8" t="s">
        <v>53</v>
      </c>
      <c r="R96" s="8" t="s">
        <v>55</v>
      </c>
      <c r="S96" s="8" t="s">
        <v>55</v>
      </c>
      <c r="T96" s="8" t="s">
        <v>53</v>
      </c>
      <c r="U96" s="8" t="s">
        <v>54</v>
      </c>
      <c r="V96" s="8" t="s">
        <v>53</v>
      </c>
      <c r="W96" s="8" t="s">
        <v>53</v>
      </c>
      <c r="X96" s="8" t="s">
        <v>55</v>
      </c>
      <c r="Y96" s="8" t="s">
        <v>55</v>
      </c>
      <c r="Z96" s="8" t="s">
        <v>54</v>
      </c>
      <c r="AA96" s="8" t="s">
        <v>54</v>
      </c>
      <c r="AB96" s="8" t="s">
        <v>55</v>
      </c>
      <c r="AC96" s="8" t="s">
        <v>55</v>
      </c>
      <c r="AD96" s="8" t="s">
        <v>54</v>
      </c>
      <c r="AE96" s="8" t="s">
        <v>53</v>
      </c>
      <c r="AF96" s="8" t="s">
        <v>56</v>
      </c>
      <c r="AG96" s="8" t="s">
        <v>63</v>
      </c>
      <c r="AH96" s="8" t="s">
        <v>56</v>
      </c>
      <c r="AI96" s="8" t="s">
        <v>57</v>
      </c>
      <c r="AJ96" s="8" t="s">
        <v>58</v>
      </c>
      <c r="AK96" s="8" t="s">
        <v>63</v>
      </c>
      <c r="AL96" s="8" t="s">
        <v>58</v>
      </c>
      <c r="AM96" s="8" t="s">
        <v>57</v>
      </c>
      <c r="AN96" s="8" t="s">
        <v>58</v>
      </c>
      <c r="AO96" s="8" t="s">
        <v>57</v>
      </c>
      <c r="AP96" s="8" t="s">
        <v>59</v>
      </c>
      <c r="AQ96" s="8" t="s">
        <v>57</v>
      </c>
      <c r="AR96" s="8" t="s">
        <v>57</v>
      </c>
      <c r="AS96" s="8" t="s">
        <v>57</v>
      </c>
      <c r="AT96" s="8" t="s">
        <v>58</v>
      </c>
      <c r="AU96" s="8" t="s">
        <v>63</v>
      </c>
      <c r="AV96" s="8" t="s">
        <v>56</v>
      </c>
      <c r="AW96" s="8" t="s">
        <v>58</v>
      </c>
    </row>
    <row r="97" spans="1:49" ht="16.05" customHeight="1" x14ac:dyDescent="0.3">
      <c r="A97" s="8" t="s">
        <v>346</v>
      </c>
      <c r="B97" s="8" t="s">
        <v>347</v>
      </c>
      <c r="C97" s="9">
        <v>46136.125821759262</v>
      </c>
      <c r="D97" s="10" t="s">
        <v>348</v>
      </c>
      <c r="E97" s="8" t="s">
        <v>339</v>
      </c>
      <c r="F97" s="8">
        <v>16</v>
      </c>
      <c r="G97" s="8" t="s">
        <v>53</v>
      </c>
      <c r="H97" s="8" t="s">
        <v>54</v>
      </c>
      <c r="I97" s="8" t="s">
        <v>55</v>
      </c>
      <c r="J97" s="8" t="s">
        <v>54</v>
      </c>
      <c r="K97" s="8" t="s">
        <v>55</v>
      </c>
      <c r="L97" s="8" t="s">
        <v>54</v>
      </c>
      <c r="M97" s="8" t="s">
        <v>55</v>
      </c>
      <c r="N97" s="8" t="s">
        <v>54</v>
      </c>
      <c r="O97" s="8" t="s">
        <v>55</v>
      </c>
      <c r="P97" s="8" t="s">
        <v>55</v>
      </c>
      <c r="Q97" s="8" t="s">
        <v>53</v>
      </c>
      <c r="R97" s="8" t="s">
        <v>55</v>
      </c>
      <c r="S97" s="8" t="s">
        <v>55</v>
      </c>
      <c r="T97" s="8" t="s">
        <v>53</v>
      </c>
      <c r="U97" s="8" t="s">
        <v>55</v>
      </c>
      <c r="V97" s="8" t="s">
        <v>55</v>
      </c>
      <c r="W97" s="8" t="s">
        <v>53</v>
      </c>
      <c r="X97" s="8" t="s">
        <v>55</v>
      </c>
      <c r="Y97" s="8" t="s">
        <v>55</v>
      </c>
      <c r="Z97" s="8" t="s">
        <v>53</v>
      </c>
      <c r="AA97" s="8" t="s">
        <v>53</v>
      </c>
      <c r="AB97" s="8" t="s">
        <v>55</v>
      </c>
      <c r="AC97" s="8" t="s">
        <v>53</v>
      </c>
      <c r="AD97" s="8" t="s">
        <v>55</v>
      </c>
      <c r="AE97" s="8" t="s">
        <v>53</v>
      </c>
      <c r="AF97" s="8" t="s">
        <v>57</v>
      </c>
      <c r="AG97" s="8" t="s">
        <v>58</v>
      </c>
      <c r="AH97" s="8" t="s">
        <v>58</v>
      </c>
      <c r="AI97" s="8" t="s">
        <v>63</v>
      </c>
      <c r="AJ97" s="8" t="s">
        <v>58</v>
      </c>
      <c r="AK97" s="8" t="s">
        <v>58</v>
      </c>
      <c r="AL97" s="8" t="s">
        <v>58</v>
      </c>
      <c r="AM97" s="8" t="s">
        <v>56</v>
      </c>
      <c r="AN97" s="8" t="s">
        <v>57</v>
      </c>
      <c r="AO97" s="8" t="s">
        <v>57</v>
      </c>
      <c r="AP97" s="8" t="s">
        <v>57</v>
      </c>
      <c r="AQ97" s="8" t="s">
        <v>56</v>
      </c>
      <c r="AR97" s="8" t="s">
        <v>58</v>
      </c>
      <c r="AS97" s="8" t="s">
        <v>56</v>
      </c>
      <c r="AT97" s="8" t="s">
        <v>58</v>
      </c>
      <c r="AU97" s="8" t="s">
        <v>57</v>
      </c>
      <c r="AV97" s="8" t="s">
        <v>58</v>
      </c>
      <c r="AW97" s="8" t="s">
        <v>57</v>
      </c>
    </row>
    <row r="98" spans="1:49" ht="16.05" customHeight="1" x14ac:dyDescent="0.3">
      <c r="A98" s="8" t="s">
        <v>349</v>
      </c>
      <c r="B98" s="8" t="s">
        <v>350</v>
      </c>
      <c r="C98" s="9">
        <v>46136.126122685193</v>
      </c>
      <c r="D98" s="10" t="s">
        <v>351</v>
      </c>
      <c r="E98" s="8" t="s">
        <v>339</v>
      </c>
      <c r="F98" s="8">
        <v>17</v>
      </c>
      <c r="G98" s="8" t="s">
        <v>53</v>
      </c>
      <c r="H98" s="8" t="s">
        <v>53</v>
      </c>
      <c r="I98" s="8" t="s">
        <v>55</v>
      </c>
      <c r="J98" s="8" t="s">
        <v>53</v>
      </c>
      <c r="K98" s="8" t="s">
        <v>54</v>
      </c>
      <c r="L98" s="8" t="s">
        <v>54</v>
      </c>
      <c r="M98" s="8" t="s">
        <v>55</v>
      </c>
      <c r="N98" s="8" t="s">
        <v>53</v>
      </c>
      <c r="O98" s="8" t="s">
        <v>53</v>
      </c>
      <c r="P98" s="8" t="s">
        <v>55</v>
      </c>
      <c r="Q98" s="8" t="s">
        <v>53</v>
      </c>
      <c r="R98" s="8" t="s">
        <v>55</v>
      </c>
      <c r="S98" s="8" t="s">
        <v>54</v>
      </c>
      <c r="T98" s="8" t="s">
        <v>53</v>
      </c>
      <c r="U98" s="8" t="s">
        <v>55</v>
      </c>
      <c r="V98" s="8" t="s">
        <v>55</v>
      </c>
      <c r="W98" s="8" t="s">
        <v>53</v>
      </c>
      <c r="X98" s="8" t="s">
        <v>55</v>
      </c>
      <c r="Y98" s="8" t="s">
        <v>53</v>
      </c>
      <c r="Z98" s="8" t="s">
        <v>55</v>
      </c>
      <c r="AA98" s="8" t="s">
        <v>53</v>
      </c>
      <c r="AB98" s="8" t="s">
        <v>55</v>
      </c>
      <c r="AC98" s="8" t="s">
        <v>55</v>
      </c>
      <c r="AD98" s="8" t="s">
        <v>55</v>
      </c>
      <c r="AE98" s="8" t="s">
        <v>53</v>
      </c>
      <c r="AF98" s="8" t="s">
        <v>56</v>
      </c>
      <c r="AG98" s="8" t="s">
        <v>63</v>
      </c>
      <c r="AH98" s="8" t="s">
        <v>63</v>
      </c>
      <c r="AI98" s="8" t="s">
        <v>57</v>
      </c>
      <c r="AJ98" s="8" t="s">
        <v>59</v>
      </c>
      <c r="AK98" s="8" t="s">
        <v>58</v>
      </c>
      <c r="AL98" s="8" t="s">
        <v>63</v>
      </c>
      <c r="AM98" s="8" t="s">
        <v>56</v>
      </c>
      <c r="AN98" s="8" t="s">
        <v>63</v>
      </c>
      <c r="AO98" s="8" t="s">
        <v>58</v>
      </c>
      <c r="AP98" s="8" t="s">
        <v>63</v>
      </c>
      <c r="AQ98" s="8" t="s">
        <v>58</v>
      </c>
      <c r="AR98" s="8" t="s">
        <v>58</v>
      </c>
      <c r="AS98" s="8" t="s">
        <v>58</v>
      </c>
      <c r="AT98" s="8" t="s">
        <v>58</v>
      </c>
      <c r="AU98" s="8" t="s">
        <v>58</v>
      </c>
      <c r="AV98" s="8" t="s">
        <v>57</v>
      </c>
      <c r="AW98" s="8" t="s">
        <v>63</v>
      </c>
    </row>
    <row r="99" spans="1:49" ht="16.05" customHeight="1" x14ac:dyDescent="0.3">
      <c r="A99" s="8" t="s">
        <v>352</v>
      </c>
      <c r="B99" s="8" t="s">
        <v>353</v>
      </c>
      <c r="C99" s="9">
        <v>46136.126250000001</v>
      </c>
      <c r="D99" s="10" t="s">
        <v>354</v>
      </c>
      <c r="E99" s="8" t="s">
        <v>339</v>
      </c>
      <c r="F99" s="8">
        <v>18</v>
      </c>
      <c r="G99" s="8" t="s">
        <v>53</v>
      </c>
      <c r="H99" s="8" t="s">
        <v>55</v>
      </c>
      <c r="I99" s="8" t="s">
        <v>54</v>
      </c>
      <c r="J99" s="8" t="s">
        <v>53</v>
      </c>
      <c r="K99" s="8" t="s">
        <v>55</v>
      </c>
      <c r="L99" s="8" t="s">
        <v>55</v>
      </c>
      <c r="M99" s="8" t="s">
        <v>55</v>
      </c>
      <c r="N99" s="8" t="s">
        <v>53</v>
      </c>
      <c r="O99" s="8" t="s">
        <v>53</v>
      </c>
      <c r="P99" s="8" t="s">
        <v>55</v>
      </c>
      <c r="Q99" s="8" t="s">
        <v>53</v>
      </c>
      <c r="R99" s="8" t="s">
        <v>55</v>
      </c>
      <c r="S99" s="8" t="s">
        <v>55</v>
      </c>
      <c r="T99" s="8" t="s">
        <v>55</v>
      </c>
      <c r="U99" s="8" t="s">
        <v>55</v>
      </c>
      <c r="V99" s="8" t="s">
        <v>54</v>
      </c>
      <c r="W99" s="8" t="s">
        <v>53</v>
      </c>
      <c r="X99" s="8" t="s">
        <v>55</v>
      </c>
      <c r="Y99" s="8" t="s">
        <v>55</v>
      </c>
      <c r="Z99" s="8" t="s">
        <v>53</v>
      </c>
      <c r="AA99" s="8" t="s">
        <v>53</v>
      </c>
      <c r="AB99" s="8" t="s">
        <v>55</v>
      </c>
      <c r="AC99" s="8" t="s">
        <v>55</v>
      </c>
      <c r="AD99" s="8" t="s">
        <v>54</v>
      </c>
      <c r="AE99" s="8" t="s">
        <v>53</v>
      </c>
      <c r="AF99" s="8" t="s">
        <v>56</v>
      </c>
      <c r="AG99" s="8" t="s">
        <v>58</v>
      </c>
      <c r="AH99" s="8" t="s">
        <v>57</v>
      </c>
      <c r="AI99" s="8" t="s">
        <v>58</v>
      </c>
      <c r="AJ99" s="8" t="s">
        <v>57</v>
      </c>
      <c r="AK99" s="8" t="s">
        <v>63</v>
      </c>
      <c r="AL99" s="8" t="s">
        <v>58</v>
      </c>
      <c r="AM99" s="8" t="s">
        <v>57</v>
      </c>
      <c r="AN99" s="8" t="s">
        <v>58</v>
      </c>
      <c r="AO99" s="8" t="s">
        <v>57</v>
      </c>
      <c r="AP99" s="8" t="s">
        <v>63</v>
      </c>
      <c r="AQ99" s="8" t="s">
        <v>63</v>
      </c>
      <c r="AR99" s="8" t="s">
        <v>63</v>
      </c>
      <c r="AS99" s="8" t="s">
        <v>57</v>
      </c>
      <c r="AT99" s="8" t="s">
        <v>57</v>
      </c>
      <c r="AU99" s="8" t="s">
        <v>57</v>
      </c>
      <c r="AV99" s="8" t="s">
        <v>58</v>
      </c>
      <c r="AW99" s="8" t="s">
        <v>58</v>
      </c>
    </row>
    <row r="100" spans="1:49" ht="16.05" customHeight="1" x14ac:dyDescent="0.3">
      <c r="A100" s="8" t="s">
        <v>355</v>
      </c>
      <c r="B100" s="8" t="s">
        <v>356</v>
      </c>
      <c r="C100" s="9">
        <v>46136.126539351862</v>
      </c>
      <c r="D100" s="10" t="s">
        <v>357</v>
      </c>
      <c r="E100" s="8" t="s">
        <v>339</v>
      </c>
      <c r="F100" s="8">
        <v>17</v>
      </c>
      <c r="G100" s="8" t="s">
        <v>53</v>
      </c>
      <c r="H100" s="8" t="s">
        <v>55</v>
      </c>
      <c r="I100" s="8" t="s">
        <v>55</v>
      </c>
      <c r="J100" s="8" t="s">
        <v>53</v>
      </c>
      <c r="K100" s="8" t="s">
        <v>55</v>
      </c>
      <c r="L100" s="8" t="s">
        <v>55</v>
      </c>
      <c r="M100" s="8" t="s">
        <v>53</v>
      </c>
      <c r="N100" s="8" t="s">
        <v>55</v>
      </c>
      <c r="O100" s="8" t="s">
        <v>53</v>
      </c>
      <c r="P100" s="8" t="s">
        <v>54</v>
      </c>
      <c r="Q100" s="8" t="s">
        <v>53</v>
      </c>
      <c r="R100" s="8" t="s">
        <v>55</v>
      </c>
      <c r="S100" s="8" t="s">
        <v>55</v>
      </c>
      <c r="T100" s="8" t="s">
        <v>53</v>
      </c>
      <c r="U100" s="8" t="s">
        <v>54</v>
      </c>
      <c r="V100" s="8" t="s">
        <v>55</v>
      </c>
      <c r="W100" s="8" t="s">
        <v>53</v>
      </c>
      <c r="X100" s="8" t="s">
        <v>55</v>
      </c>
      <c r="Y100" s="8" t="s">
        <v>55</v>
      </c>
      <c r="Z100" s="8" t="s">
        <v>53</v>
      </c>
      <c r="AA100" s="8" t="s">
        <v>53</v>
      </c>
      <c r="AB100" s="8" t="s">
        <v>55</v>
      </c>
      <c r="AC100" s="8" t="s">
        <v>54</v>
      </c>
      <c r="AD100" s="8" t="s">
        <v>55</v>
      </c>
      <c r="AE100" s="8" t="s">
        <v>53</v>
      </c>
      <c r="AF100" s="8" t="s">
        <v>57</v>
      </c>
      <c r="AG100" s="8" t="s">
        <v>63</v>
      </c>
      <c r="AH100" s="8" t="s">
        <v>63</v>
      </c>
      <c r="AI100" s="8" t="s">
        <v>63</v>
      </c>
      <c r="AJ100" s="8" t="s">
        <v>63</v>
      </c>
      <c r="AK100" s="8" t="s">
        <v>63</v>
      </c>
      <c r="AL100" s="8" t="s">
        <v>63</v>
      </c>
      <c r="AM100" s="8" t="s">
        <v>63</v>
      </c>
      <c r="AN100" s="8" t="s">
        <v>63</v>
      </c>
      <c r="AO100" s="8" t="s">
        <v>63</v>
      </c>
      <c r="AP100" s="8" t="s">
        <v>63</v>
      </c>
      <c r="AQ100" s="8" t="s">
        <v>63</v>
      </c>
      <c r="AR100" s="8" t="s">
        <v>63</v>
      </c>
      <c r="AS100" s="8" t="s">
        <v>63</v>
      </c>
      <c r="AT100" s="8" t="s">
        <v>63</v>
      </c>
      <c r="AU100" s="8" t="s">
        <v>63</v>
      </c>
      <c r="AV100" s="8" t="s">
        <v>63</v>
      </c>
      <c r="AW100" s="8" t="s">
        <v>63</v>
      </c>
    </row>
    <row r="101" spans="1:49" ht="16.05" customHeight="1" x14ac:dyDescent="0.3">
      <c r="A101" s="8" t="s">
        <v>358</v>
      </c>
      <c r="B101" s="8" t="s">
        <v>359</v>
      </c>
      <c r="C101" s="9">
        <v>46136.126793981479</v>
      </c>
      <c r="D101" s="10" t="s">
        <v>360</v>
      </c>
      <c r="E101" s="8" t="s">
        <v>339</v>
      </c>
      <c r="F101" s="8">
        <v>17</v>
      </c>
      <c r="G101" s="8" t="s">
        <v>54</v>
      </c>
      <c r="H101" s="8" t="s">
        <v>55</v>
      </c>
      <c r="I101" s="8" t="s">
        <v>55</v>
      </c>
      <c r="J101" s="8" t="s">
        <v>54</v>
      </c>
      <c r="K101" s="8" t="s">
        <v>55</v>
      </c>
      <c r="L101" s="8" t="s">
        <v>55</v>
      </c>
      <c r="M101" s="8" t="s">
        <v>55</v>
      </c>
      <c r="N101" s="8" t="s">
        <v>55</v>
      </c>
      <c r="O101" s="8" t="s">
        <v>54</v>
      </c>
      <c r="P101" s="8" t="s">
        <v>55</v>
      </c>
      <c r="Q101" s="8" t="s">
        <v>53</v>
      </c>
      <c r="R101" s="8" t="s">
        <v>55</v>
      </c>
      <c r="S101" s="8" t="s">
        <v>55</v>
      </c>
      <c r="T101" s="8" t="s">
        <v>53</v>
      </c>
      <c r="U101" s="8" t="s">
        <v>54</v>
      </c>
      <c r="V101" s="8" t="s">
        <v>55</v>
      </c>
      <c r="W101" s="8" t="s">
        <v>53</v>
      </c>
      <c r="X101" s="8" t="s">
        <v>55</v>
      </c>
      <c r="Y101" s="8" t="s">
        <v>55</v>
      </c>
      <c r="Z101" s="8" t="s">
        <v>54</v>
      </c>
      <c r="AA101" s="8" t="s">
        <v>53</v>
      </c>
      <c r="AB101" s="8" t="s">
        <v>55</v>
      </c>
      <c r="AC101" s="8" t="s">
        <v>54</v>
      </c>
      <c r="AD101" s="8" t="s">
        <v>55</v>
      </c>
      <c r="AE101" s="8" t="s">
        <v>53</v>
      </c>
      <c r="AF101" s="8" t="s">
        <v>58</v>
      </c>
      <c r="AG101" s="8" t="s">
        <v>58</v>
      </c>
      <c r="AH101" s="8" t="s">
        <v>58</v>
      </c>
      <c r="AI101" s="8" t="s">
        <v>63</v>
      </c>
      <c r="AJ101" s="8" t="s">
        <v>63</v>
      </c>
      <c r="AK101" s="8" t="s">
        <v>63</v>
      </c>
      <c r="AL101" s="8" t="s">
        <v>63</v>
      </c>
      <c r="AM101" s="8" t="s">
        <v>63</v>
      </c>
      <c r="AN101" s="8" t="s">
        <v>63</v>
      </c>
      <c r="AO101" s="8" t="s">
        <v>63</v>
      </c>
      <c r="AP101" s="8" t="s">
        <v>63</v>
      </c>
      <c r="AQ101" s="8" t="s">
        <v>63</v>
      </c>
      <c r="AR101" s="8" t="s">
        <v>63</v>
      </c>
      <c r="AS101" s="8" t="s">
        <v>63</v>
      </c>
      <c r="AT101" s="8" t="s">
        <v>63</v>
      </c>
      <c r="AU101" s="8" t="s">
        <v>63</v>
      </c>
      <c r="AV101" s="8" t="s">
        <v>63</v>
      </c>
      <c r="AW101" s="8" t="s">
        <v>63</v>
      </c>
    </row>
    <row r="102" spans="1:49" ht="16.05" customHeight="1" x14ac:dyDescent="0.3">
      <c r="A102" s="8" t="s">
        <v>361</v>
      </c>
      <c r="B102" s="8" t="s">
        <v>362</v>
      </c>
      <c r="C102" s="9">
        <v>46136.126828703702</v>
      </c>
      <c r="D102" s="10" t="s">
        <v>363</v>
      </c>
      <c r="E102" s="8" t="s">
        <v>339</v>
      </c>
      <c r="F102" s="8">
        <v>17</v>
      </c>
      <c r="G102" s="8" t="s">
        <v>53</v>
      </c>
      <c r="H102" s="8" t="s">
        <v>55</v>
      </c>
      <c r="I102" s="8" t="s">
        <v>55</v>
      </c>
      <c r="J102" s="8" t="s">
        <v>53</v>
      </c>
      <c r="K102" s="8" t="s">
        <v>55</v>
      </c>
      <c r="L102" s="8" t="s">
        <v>55</v>
      </c>
      <c r="M102" s="8" t="s">
        <v>53</v>
      </c>
      <c r="N102" s="8" t="s">
        <v>55</v>
      </c>
      <c r="O102" s="8" t="s">
        <v>53</v>
      </c>
      <c r="P102" s="8" t="s">
        <v>55</v>
      </c>
      <c r="Q102" s="8" t="s">
        <v>53</v>
      </c>
      <c r="R102" s="8" t="s">
        <v>55</v>
      </c>
      <c r="S102" s="8" t="s">
        <v>55</v>
      </c>
      <c r="T102" s="8" t="s">
        <v>53</v>
      </c>
      <c r="U102" s="8" t="s">
        <v>55</v>
      </c>
      <c r="V102" s="8" t="s">
        <v>55</v>
      </c>
      <c r="W102" s="8" t="s">
        <v>53</v>
      </c>
      <c r="X102" s="8" t="s">
        <v>55</v>
      </c>
      <c r="Y102" s="8" t="s">
        <v>55</v>
      </c>
      <c r="Z102" s="8" t="s">
        <v>53</v>
      </c>
      <c r="AA102" s="8" t="s">
        <v>53</v>
      </c>
      <c r="AB102" s="8" t="s">
        <v>55</v>
      </c>
      <c r="AC102" s="8" t="s">
        <v>53</v>
      </c>
      <c r="AD102" s="8" t="s">
        <v>55</v>
      </c>
      <c r="AE102" s="8" t="s">
        <v>53</v>
      </c>
      <c r="AF102" s="8" t="s">
        <v>63</v>
      </c>
      <c r="AG102" s="8" t="s">
        <v>63</v>
      </c>
      <c r="AH102" s="8" t="s">
        <v>63</v>
      </c>
      <c r="AI102" s="8" t="s">
        <v>63</v>
      </c>
      <c r="AJ102" s="8" t="s">
        <v>56</v>
      </c>
      <c r="AK102" s="8" t="s">
        <v>63</v>
      </c>
      <c r="AL102" s="8" t="s">
        <v>63</v>
      </c>
      <c r="AM102" s="8" t="s">
        <v>63</v>
      </c>
      <c r="AN102" s="8" t="s">
        <v>63</v>
      </c>
      <c r="AO102" s="8" t="s">
        <v>63</v>
      </c>
      <c r="AP102" s="8" t="s">
        <v>63</v>
      </c>
      <c r="AQ102" s="8" t="s">
        <v>63</v>
      </c>
      <c r="AR102" s="8" t="s">
        <v>63</v>
      </c>
      <c r="AS102" s="8" t="s">
        <v>63</v>
      </c>
      <c r="AT102" s="8" t="s">
        <v>63</v>
      </c>
      <c r="AU102" s="8" t="s">
        <v>63</v>
      </c>
      <c r="AV102" s="8" t="s">
        <v>63</v>
      </c>
      <c r="AW102" s="8" t="s">
        <v>59</v>
      </c>
    </row>
    <row r="103" spans="1:49" ht="16.05" customHeight="1" x14ac:dyDescent="0.3">
      <c r="A103" s="8" t="s">
        <v>364</v>
      </c>
      <c r="B103" s="8" t="s">
        <v>365</v>
      </c>
      <c r="C103" s="9">
        <v>46136.126944444448</v>
      </c>
      <c r="D103" s="10" t="s">
        <v>366</v>
      </c>
      <c r="E103" s="8" t="s">
        <v>339</v>
      </c>
      <c r="F103" s="8">
        <v>17</v>
      </c>
      <c r="G103" s="8" t="s">
        <v>53</v>
      </c>
      <c r="H103" s="8" t="s">
        <v>53</v>
      </c>
      <c r="I103" s="8" t="s">
        <v>53</v>
      </c>
      <c r="J103" s="8" t="s">
        <v>53</v>
      </c>
      <c r="K103" s="8" t="s">
        <v>55</v>
      </c>
      <c r="L103" s="8" t="s">
        <v>54</v>
      </c>
      <c r="M103" s="8" t="s">
        <v>55</v>
      </c>
      <c r="N103" s="8" t="s">
        <v>54</v>
      </c>
      <c r="O103" s="8" t="s">
        <v>53</v>
      </c>
      <c r="P103" s="8" t="s">
        <v>53</v>
      </c>
      <c r="Q103" s="8" t="s">
        <v>53</v>
      </c>
      <c r="R103" s="8" t="s">
        <v>55</v>
      </c>
      <c r="S103" s="8" t="s">
        <v>54</v>
      </c>
      <c r="T103" s="8" t="s">
        <v>55</v>
      </c>
      <c r="U103" s="8" t="s">
        <v>55</v>
      </c>
      <c r="V103" s="8" t="s">
        <v>53</v>
      </c>
      <c r="W103" s="8" t="s">
        <v>54</v>
      </c>
      <c r="X103" s="8" t="s">
        <v>53</v>
      </c>
      <c r="Y103" s="8" t="s">
        <v>55</v>
      </c>
      <c r="Z103" s="8" t="s">
        <v>54</v>
      </c>
      <c r="AA103" s="8" t="s">
        <v>53</v>
      </c>
      <c r="AB103" s="8" t="s">
        <v>55</v>
      </c>
      <c r="AC103" s="8" t="s">
        <v>53</v>
      </c>
      <c r="AD103" s="8" t="s">
        <v>54</v>
      </c>
      <c r="AE103" s="8" t="s">
        <v>54</v>
      </c>
      <c r="AF103" s="8" t="s">
        <v>57</v>
      </c>
      <c r="AG103" s="8" t="s">
        <v>56</v>
      </c>
      <c r="AH103" s="8" t="s">
        <v>59</v>
      </c>
      <c r="AI103" s="8" t="s">
        <v>63</v>
      </c>
      <c r="AJ103" s="8" t="s">
        <v>56</v>
      </c>
      <c r="AK103" s="8" t="s">
        <v>59</v>
      </c>
      <c r="AL103" s="8" t="s">
        <v>58</v>
      </c>
      <c r="AM103" s="8" t="s">
        <v>58</v>
      </c>
      <c r="AN103" s="8" t="s">
        <v>56</v>
      </c>
      <c r="AO103" s="8" t="s">
        <v>59</v>
      </c>
      <c r="AP103" s="8" t="s">
        <v>59</v>
      </c>
      <c r="AQ103" s="8" t="s">
        <v>59</v>
      </c>
      <c r="AR103" s="8" t="s">
        <v>58</v>
      </c>
      <c r="AS103" s="8" t="s">
        <v>58</v>
      </c>
      <c r="AT103" s="8" t="s">
        <v>58</v>
      </c>
      <c r="AU103" s="8" t="s">
        <v>56</v>
      </c>
      <c r="AV103" s="8" t="s">
        <v>58</v>
      </c>
      <c r="AW103" s="8" t="s">
        <v>63</v>
      </c>
    </row>
    <row r="104" spans="1:49" ht="16.05" customHeight="1" x14ac:dyDescent="0.3">
      <c r="A104" s="8" t="s">
        <v>367</v>
      </c>
      <c r="B104" s="8" t="s">
        <v>368</v>
      </c>
      <c r="C104" s="9">
        <v>46136.12703703704</v>
      </c>
      <c r="D104" s="10" t="s">
        <v>369</v>
      </c>
      <c r="E104" s="8" t="s">
        <v>339</v>
      </c>
      <c r="F104" s="8">
        <v>17</v>
      </c>
      <c r="G104" s="8" t="s">
        <v>53</v>
      </c>
      <c r="H104" s="8" t="s">
        <v>55</v>
      </c>
      <c r="I104" s="8" t="s">
        <v>54</v>
      </c>
      <c r="J104" s="8" t="s">
        <v>53</v>
      </c>
      <c r="K104" s="8" t="s">
        <v>54</v>
      </c>
      <c r="L104" s="8" t="s">
        <v>55</v>
      </c>
      <c r="M104" s="8" t="s">
        <v>55</v>
      </c>
      <c r="N104" s="8" t="s">
        <v>54</v>
      </c>
      <c r="O104" s="8" t="s">
        <v>53</v>
      </c>
      <c r="P104" s="8" t="s">
        <v>53</v>
      </c>
      <c r="Q104" s="8" t="s">
        <v>53</v>
      </c>
      <c r="R104" s="8" t="s">
        <v>54</v>
      </c>
      <c r="S104" s="8" t="s">
        <v>54</v>
      </c>
      <c r="T104" s="8" t="s">
        <v>54</v>
      </c>
      <c r="U104" s="8" t="s">
        <v>55</v>
      </c>
      <c r="V104" s="8" t="s">
        <v>55</v>
      </c>
      <c r="W104" s="8" t="s">
        <v>53</v>
      </c>
      <c r="X104" s="8" t="s">
        <v>55</v>
      </c>
      <c r="Y104" s="8" t="s">
        <v>55</v>
      </c>
      <c r="Z104" s="8" t="s">
        <v>53</v>
      </c>
      <c r="AA104" s="8" t="s">
        <v>53</v>
      </c>
      <c r="AB104" s="8" t="s">
        <v>55</v>
      </c>
      <c r="AC104" s="8" t="s">
        <v>54</v>
      </c>
      <c r="AD104" s="8" t="s">
        <v>55</v>
      </c>
      <c r="AE104" s="8" t="s">
        <v>53</v>
      </c>
      <c r="AF104" s="8" t="s">
        <v>57</v>
      </c>
      <c r="AG104" s="8" t="s">
        <v>63</v>
      </c>
      <c r="AH104" s="8" t="s">
        <v>57</v>
      </c>
      <c r="AI104" s="8" t="s">
        <v>63</v>
      </c>
      <c r="AJ104" s="8" t="s">
        <v>63</v>
      </c>
      <c r="AK104" s="8" t="s">
        <v>63</v>
      </c>
      <c r="AL104" s="8" t="s">
        <v>63</v>
      </c>
      <c r="AM104" s="8" t="s">
        <v>56</v>
      </c>
      <c r="AN104" s="8" t="s">
        <v>63</v>
      </c>
      <c r="AO104" s="8" t="s">
        <v>56</v>
      </c>
      <c r="AP104" s="8" t="s">
        <v>63</v>
      </c>
      <c r="AQ104" s="8" t="s">
        <v>59</v>
      </c>
      <c r="AR104" s="8" t="s">
        <v>63</v>
      </c>
      <c r="AS104" s="8" t="s">
        <v>57</v>
      </c>
      <c r="AT104" s="8" t="s">
        <v>57</v>
      </c>
      <c r="AU104" s="8" t="s">
        <v>63</v>
      </c>
      <c r="AV104" s="8" t="s">
        <v>63</v>
      </c>
      <c r="AW104" s="8" t="s">
        <v>63</v>
      </c>
    </row>
    <row r="105" spans="1:49" ht="16.05" customHeight="1" x14ac:dyDescent="0.3">
      <c r="A105" s="8" t="s">
        <v>370</v>
      </c>
      <c r="B105" s="8" t="s">
        <v>371</v>
      </c>
      <c r="C105" s="9">
        <v>46136.127199074072</v>
      </c>
      <c r="D105" s="10" t="s">
        <v>372</v>
      </c>
      <c r="E105" s="9" t="s">
        <v>339</v>
      </c>
      <c r="F105" s="8">
        <v>17</v>
      </c>
      <c r="G105" s="8" t="s">
        <v>53</v>
      </c>
      <c r="H105" s="8" t="s">
        <v>55</v>
      </c>
      <c r="I105" s="8" t="s">
        <v>55</v>
      </c>
      <c r="J105" s="8" t="s">
        <v>53</v>
      </c>
      <c r="K105" s="8" t="s">
        <v>55</v>
      </c>
      <c r="L105" s="8" t="s">
        <v>55</v>
      </c>
      <c r="M105" s="8" t="s">
        <v>53</v>
      </c>
      <c r="N105" s="8" t="s">
        <v>55</v>
      </c>
      <c r="O105" s="8" t="s">
        <v>54</v>
      </c>
      <c r="P105" s="8" t="s">
        <v>54</v>
      </c>
      <c r="Q105" s="8" t="s">
        <v>54</v>
      </c>
      <c r="R105" s="8" t="s">
        <v>55</v>
      </c>
      <c r="S105" s="8" t="s">
        <v>55</v>
      </c>
      <c r="T105" s="8" t="s">
        <v>55</v>
      </c>
      <c r="U105" s="8" t="s">
        <v>54</v>
      </c>
      <c r="V105" s="8" t="s">
        <v>54</v>
      </c>
      <c r="W105" s="8" t="s">
        <v>54</v>
      </c>
      <c r="X105" s="8" t="s">
        <v>55</v>
      </c>
      <c r="Y105" s="8" t="s">
        <v>55</v>
      </c>
      <c r="Z105" s="8" t="s">
        <v>54</v>
      </c>
      <c r="AA105" s="8" t="s">
        <v>54</v>
      </c>
      <c r="AB105" s="8" t="s">
        <v>55</v>
      </c>
      <c r="AC105" s="8" t="s">
        <v>55</v>
      </c>
      <c r="AD105" s="8" t="s">
        <v>55</v>
      </c>
      <c r="AE105" s="8" t="s">
        <v>53</v>
      </c>
      <c r="AF105" s="8" t="s">
        <v>56</v>
      </c>
      <c r="AG105" s="8" t="s">
        <v>58</v>
      </c>
      <c r="AH105" s="8" t="s">
        <v>57</v>
      </c>
      <c r="AI105" s="8" t="s">
        <v>63</v>
      </c>
      <c r="AJ105" s="8" t="s">
        <v>57</v>
      </c>
      <c r="AK105" s="8" t="s">
        <v>57</v>
      </c>
      <c r="AL105" s="8" t="s">
        <v>57</v>
      </c>
      <c r="AM105" s="8" t="s">
        <v>56</v>
      </c>
      <c r="AN105" s="8" t="s">
        <v>63</v>
      </c>
      <c r="AO105" s="8" t="s">
        <v>58</v>
      </c>
      <c r="AP105" s="8" t="s">
        <v>57</v>
      </c>
      <c r="AQ105" s="8" t="s">
        <v>57</v>
      </c>
      <c r="AR105" s="8" t="s">
        <v>58</v>
      </c>
      <c r="AS105" s="8" t="s">
        <v>58</v>
      </c>
      <c r="AT105" s="8" t="s">
        <v>58</v>
      </c>
      <c r="AU105" s="8" t="s">
        <v>63</v>
      </c>
      <c r="AV105" s="8" t="s">
        <v>57</v>
      </c>
      <c r="AW105" s="8" t="s">
        <v>63</v>
      </c>
    </row>
    <row r="106" spans="1:49" ht="16.05" customHeight="1" x14ac:dyDescent="0.3">
      <c r="A106" s="8" t="s">
        <v>373</v>
      </c>
      <c r="B106" s="8" t="s">
        <v>374</v>
      </c>
      <c r="C106" s="9">
        <v>46136.127210648148</v>
      </c>
      <c r="D106" s="10" t="s">
        <v>375</v>
      </c>
      <c r="E106" s="8" t="s">
        <v>339</v>
      </c>
      <c r="F106" s="8">
        <v>17</v>
      </c>
      <c r="G106" s="8" t="s">
        <v>53</v>
      </c>
      <c r="H106" s="8" t="s">
        <v>55</v>
      </c>
      <c r="I106" s="8" t="s">
        <v>55</v>
      </c>
      <c r="J106" s="8" t="s">
        <v>55</v>
      </c>
      <c r="K106" s="8" t="s">
        <v>55</v>
      </c>
      <c r="L106" s="8" t="s">
        <v>55</v>
      </c>
      <c r="M106" s="8" t="s">
        <v>55</v>
      </c>
      <c r="N106" s="8" t="s">
        <v>55</v>
      </c>
      <c r="O106" s="8" t="s">
        <v>53</v>
      </c>
      <c r="P106" s="8" t="s">
        <v>55</v>
      </c>
      <c r="Q106" s="8" t="s">
        <v>53</v>
      </c>
      <c r="R106" s="8" t="s">
        <v>55</v>
      </c>
      <c r="S106" s="8" t="s">
        <v>55</v>
      </c>
      <c r="T106" s="8" t="s">
        <v>55</v>
      </c>
      <c r="U106" s="8" t="s">
        <v>55</v>
      </c>
      <c r="V106" s="8" t="s">
        <v>55</v>
      </c>
      <c r="W106" s="8" t="s">
        <v>54</v>
      </c>
      <c r="X106" s="8" t="s">
        <v>55</v>
      </c>
      <c r="Y106" s="8" t="s">
        <v>55</v>
      </c>
      <c r="Z106" s="8" t="s">
        <v>54</v>
      </c>
      <c r="AA106" s="8" t="s">
        <v>53</v>
      </c>
      <c r="AB106" s="8" t="s">
        <v>55</v>
      </c>
      <c r="AC106" s="8" t="s">
        <v>55</v>
      </c>
      <c r="AD106" s="8" t="s">
        <v>55</v>
      </c>
      <c r="AE106" s="8" t="s">
        <v>53</v>
      </c>
      <c r="AF106" s="8" t="s">
        <v>57</v>
      </c>
      <c r="AG106" s="8" t="s">
        <v>57</v>
      </c>
      <c r="AH106" s="8" t="s">
        <v>58</v>
      </c>
      <c r="AI106" s="8" t="s">
        <v>63</v>
      </c>
      <c r="AJ106" s="8" t="s">
        <v>63</v>
      </c>
      <c r="AK106" s="8" t="s">
        <v>58</v>
      </c>
      <c r="AL106" s="8" t="s">
        <v>57</v>
      </c>
      <c r="AM106" s="8" t="s">
        <v>58</v>
      </c>
      <c r="AN106" s="8" t="s">
        <v>57</v>
      </c>
      <c r="AO106" s="8" t="s">
        <v>57</v>
      </c>
      <c r="AP106" s="8" t="s">
        <v>63</v>
      </c>
      <c r="AQ106" s="8" t="s">
        <v>63</v>
      </c>
      <c r="AR106" s="8" t="s">
        <v>63</v>
      </c>
      <c r="AS106" s="8" t="s">
        <v>63</v>
      </c>
      <c r="AT106" s="8" t="s">
        <v>63</v>
      </c>
      <c r="AU106" s="8" t="s">
        <v>58</v>
      </c>
      <c r="AV106" s="8" t="s">
        <v>57</v>
      </c>
      <c r="AW106" s="8" t="s">
        <v>58</v>
      </c>
    </row>
    <row r="107" spans="1:49" ht="16.05" customHeight="1" x14ac:dyDescent="0.3">
      <c r="A107" s="8" t="s">
        <v>376</v>
      </c>
      <c r="B107" s="8" t="s">
        <v>377</v>
      </c>
      <c r="C107" s="9">
        <v>46136.127245370371</v>
      </c>
      <c r="D107" s="10" t="s">
        <v>378</v>
      </c>
      <c r="E107" s="8" t="s">
        <v>339</v>
      </c>
      <c r="F107" s="8">
        <v>18</v>
      </c>
      <c r="G107" s="8" t="s">
        <v>53</v>
      </c>
      <c r="H107" s="8" t="s">
        <v>55</v>
      </c>
      <c r="I107" s="8" t="s">
        <v>55</v>
      </c>
      <c r="J107" s="8" t="s">
        <v>53</v>
      </c>
      <c r="K107" s="8" t="s">
        <v>55</v>
      </c>
      <c r="L107" s="8" t="s">
        <v>55</v>
      </c>
      <c r="M107" s="8" t="s">
        <v>54</v>
      </c>
      <c r="N107" s="8" t="s">
        <v>55</v>
      </c>
      <c r="O107" s="8" t="s">
        <v>54</v>
      </c>
      <c r="P107" s="8" t="s">
        <v>55</v>
      </c>
      <c r="Q107" s="8" t="s">
        <v>53</v>
      </c>
      <c r="R107" s="8" t="s">
        <v>55</v>
      </c>
      <c r="S107" s="8" t="s">
        <v>55</v>
      </c>
      <c r="T107" s="8" t="s">
        <v>53</v>
      </c>
      <c r="U107" s="8" t="s">
        <v>54</v>
      </c>
      <c r="V107" s="8" t="s">
        <v>54</v>
      </c>
      <c r="W107" s="8" t="s">
        <v>54</v>
      </c>
      <c r="X107" s="8" t="s">
        <v>55</v>
      </c>
      <c r="Y107" s="8" t="s">
        <v>55</v>
      </c>
      <c r="Z107" s="8" t="s">
        <v>53</v>
      </c>
      <c r="AA107" s="8" t="s">
        <v>53</v>
      </c>
      <c r="AB107" s="8" t="s">
        <v>55</v>
      </c>
      <c r="AC107" s="8" t="s">
        <v>54</v>
      </c>
      <c r="AD107" s="8" t="s">
        <v>55</v>
      </c>
      <c r="AE107" s="8" t="s">
        <v>53</v>
      </c>
      <c r="AF107" s="8" t="s">
        <v>57</v>
      </c>
      <c r="AG107" s="8" t="s">
        <v>57</v>
      </c>
      <c r="AH107" s="8" t="s">
        <v>57</v>
      </c>
      <c r="AI107" s="8" t="s">
        <v>57</v>
      </c>
      <c r="AJ107" s="8" t="s">
        <v>58</v>
      </c>
      <c r="AK107" s="8" t="s">
        <v>63</v>
      </c>
      <c r="AL107" s="8" t="s">
        <v>58</v>
      </c>
      <c r="AM107" s="8" t="s">
        <v>56</v>
      </c>
      <c r="AN107" s="8" t="s">
        <v>58</v>
      </c>
      <c r="AO107" s="8" t="s">
        <v>57</v>
      </c>
      <c r="AP107" s="8" t="s">
        <v>58</v>
      </c>
      <c r="AQ107" s="8" t="s">
        <v>58</v>
      </c>
      <c r="AR107" s="8" t="s">
        <v>57</v>
      </c>
      <c r="AS107" s="8" t="s">
        <v>63</v>
      </c>
      <c r="AT107" s="8" t="s">
        <v>58</v>
      </c>
      <c r="AU107" s="8" t="s">
        <v>57</v>
      </c>
      <c r="AV107" s="8" t="s">
        <v>57</v>
      </c>
      <c r="AW107" s="8" t="s">
        <v>58</v>
      </c>
    </row>
    <row r="108" spans="1:49" ht="16.05" customHeight="1" x14ac:dyDescent="0.3">
      <c r="A108" s="8" t="s">
        <v>379</v>
      </c>
      <c r="B108" s="8" t="s">
        <v>380</v>
      </c>
      <c r="C108" s="9">
        <v>46136.127476851849</v>
      </c>
      <c r="D108" s="10" t="s">
        <v>381</v>
      </c>
      <c r="E108" s="8" t="s">
        <v>339</v>
      </c>
      <c r="F108" s="8">
        <v>17</v>
      </c>
      <c r="G108" s="8" t="s">
        <v>53</v>
      </c>
      <c r="H108" s="8" t="s">
        <v>54</v>
      </c>
      <c r="I108" s="8" t="s">
        <v>55</v>
      </c>
      <c r="J108" s="8" t="s">
        <v>53</v>
      </c>
      <c r="K108" s="8" t="s">
        <v>55</v>
      </c>
      <c r="L108" s="8" t="s">
        <v>55</v>
      </c>
      <c r="M108" s="8" t="s">
        <v>55</v>
      </c>
      <c r="N108" s="8" t="s">
        <v>55</v>
      </c>
      <c r="O108" s="8" t="s">
        <v>54</v>
      </c>
      <c r="P108" s="8" t="s">
        <v>55</v>
      </c>
      <c r="Q108" s="8" t="s">
        <v>53</v>
      </c>
      <c r="R108" s="8" t="s">
        <v>55</v>
      </c>
      <c r="S108" s="8" t="s">
        <v>55</v>
      </c>
      <c r="T108" s="8" t="s">
        <v>55</v>
      </c>
      <c r="U108" s="8" t="s">
        <v>55</v>
      </c>
      <c r="V108" s="8" t="s">
        <v>54</v>
      </c>
      <c r="W108" s="8" t="s">
        <v>53</v>
      </c>
      <c r="X108" s="8" t="s">
        <v>55</v>
      </c>
      <c r="Y108" s="8" t="s">
        <v>55</v>
      </c>
      <c r="Z108" s="8" t="s">
        <v>54</v>
      </c>
      <c r="AA108" s="8" t="s">
        <v>53</v>
      </c>
      <c r="AB108" s="8" t="s">
        <v>55</v>
      </c>
      <c r="AC108" s="8" t="s">
        <v>55</v>
      </c>
      <c r="AD108" s="8" t="s">
        <v>54</v>
      </c>
      <c r="AE108" s="8" t="s">
        <v>54</v>
      </c>
      <c r="AF108" s="8" t="s">
        <v>56</v>
      </c>
      <c r="AG108" s="8" t="s">
        <v>57</v>
      </c>
      <c r="AH108" s="8" t="s">
        <v>57</v>
      </c>
      <c r="AI108" s="8" t="s">
        <v>56</v>
      </c>
      <c r="AJ108" s="8" t="s">
        <v>63</v>
      </c>
      <c r="AK108" s="8" t="s">
        <v>63</v>
      </c>
      <c r="AL108" s="8" t="s">
        <v>63</v>
      </c>
      <c r="AM108" s="8" t="s">
        <v>63</v>
      </c>
      <c r="AN108" s="8" t="s">
        <v>63</v>
      </c>
      <c r="AO108" s="8" t="s">
        <v>63</v>
      </c>
      <c r="AP108" s="8" t="s">
        <v>63</v>
      </c>
      <c r="AQ108" s="8" t="s">
        <v>63</v>
      </c>
      <c r="AR108" s="8" t="s">
        <v>63</v>
      </c>
      <c r="AS108" s="8" t="s">
        <v>63</v>
      </c>
      <c r="AT108" s="8" t="s">
        <v>63</v>
      </c>
      <c r="AU108" s="8" t="s">
        <v>63</v>
      </c>
      <c r="AV108" s="8" t="s">
        <v>63</v>
      </c>
      <c r="AW108" s="8" t="s">
        <v>63</v>
      </c>
    </row>
    <row r="109" spans="1:49" ht="16.05" customHeight="1" x14ac:dyDescent="0.3">
      <c r="A109" s="8" t="s">
        <v>382</v>
      </c>
      <c r="B109" s="8" t="s">
        <v>383</v>
      </c>
      <c r="C109" s="9">
        <v>46136.127627314818</v>
      </c>
      <c r="D109" s="10" t="s">
        <v>384</v>
      </c>
      <c r="E109" s="8" t="s">
        <v>339</v>
      </c>
      <c r="F109" s="8">
        <v>17</v>
      </c>
      <c r="G109" s="8" t="s">
        <v>53</v>
      </c>
      <c r="H109" s="8" t="s">
        <v>54</v>
      </c>
      <c r="I109" s="8" t="s">
        <v>55</v>
      </c>
      <c r="J109" s="8" t="s">
        <v>53</v>
      </c>
      <c r="K109" s="8" t="s">
        <v>55</v>
      </c>
      <c r="L109" s="8" t="s">
        <v>54</v>
      </c>
      <c r="M109" s="8" t="s">
        <v>53</v>
      </c>
      <c r="N109" s="8" t="s">
        <v>54</v>
      </c>
      <c r="O109" s="8" t="s">
        <v>53</v>
      </c>
      <c r="P109" s="8" t="s">
        <v>54</v>
      </c>
      <c r="Q109" s="8" t="s">
        <v>53</v>
      </c>
      <c r="R109" s="8" t="s">
        <v>55</v>
      </c>
      <c r="S109" s="8" t="s">
        <v>54</v>
      </c>
      <c r="T109" s="8" t="s">
        <v>53</v>
      </c>
      <c r="U109" s="8" t="s">
        <v>55</v>
      </c>
      <c r="V109" s="8" t="s">
        <v>54</v>
      </c>
      <c r="W109" s="8" t="s">
        <v>53</v>
      </c>
      <c r="X109" s="8" t="s">
        <v>55</v>
      </c>
      <c r="Y109" s="8" t="s">
        <v>55</v>
      </c>
      <c r="Z109" s="8" t="s">
        <v>54</v>
      </c>
      <c r="AA109" s="8" t="s">
        <v>53</v>
      </c>
      <c r="AB109" s="8" t="s">
        <v>55</v>
      </c>
      <c r="AC109" s="8" t="s">
        <v>54</v>
      </c>
      <c r="AD109" s="8" t="s">
        <v>54</v>
      </c>
      <c r="AE109" s="8" t="s">
        <v>53</v>
      </c>
      <c r="AF109" s="8" t="s">
        <v>57</v>
      </c>
      <c r="AG109" s="8" t="s">
        <v>57</v>
      </c>
      <c r="AH109" s="8" t="s">
        <v>58</v>
      </c>
      <c r="AI109" s="8" t="s">
        <v>63</v>
      </c>
      <c r="AJ109" s="8" t="s">
        <v>58</v>
      </c>
      <c r="AK109" s="8" t="s">
        <v>63</v>
      </c>
      <c r="AL109" s="8" t="s">
        <v>58</v>
      </c>
      <c r="AM109" s="8" t="s">
        <v>57</v>
      </c>
      <c r="AN109" s="8" t="s">
        <v>59</v>
      </c>
      <c r="AO109" s="8" t="s">
        <v>57</v>
      </c>
      <c r="AP109" s="8" t="s">
        <v>57</v>
      </c>
      <c r="AQ109" s="8" t="s">
        <v>58</v>
      </c>
      <c r="AR109" s="8" t="s">
        <v>56</v>
      </c>
      <c r="AS109" s="8" t="s">
        <v>58</v>
      </c>
      <c r="AT109" s="8" t="s">
        <v>57</v>
      </c>
      <c r="AU109" s="8" t="s">
        <v>63</v>
      </c>
      <c r="AV109" s="8" t="s">
        <v>57</v>
      </c>
      <c r="AW109" s="8" t="s">
        <v>56</v>
      </c>
    </row>
    <row r="110" spans="1:49" ht="16.05" customHeight="1" x14ac:dyDescent="0.3">
      <c r="A110" s="8" t="s">
        <v>385</v>
      </c>
      <c r="B110" s="8" t="s">
        <v>386</v>
      </c>
      <c r="C110" s="9">
        <v>46136.12767361111</v>
      </c>
      <c r="D110" s="10" t="s">
        <v>387</v>
      </c>
      <c r="E110" s="9" t="s">
        <v>339</v>
      </c>
      <c r="F110" s="8">
        <v>17</v>
      </c>
      <c r="G110" s="8" t="s">
        <v>53</v>
      </c>
      <c r="H110" s="8" t="s">
        <v>54</v>
      </c>
      <c r="I110" s="8" t="s">
        <v>55</v>
      </c>
      <c r="J110" s="8" t="s">
        <v>54</v>
      </c>
      <c r="K110" s="8" t="s">
        <v>53</v>
      </c>
      <c r="L110" s="8" t="s">
        <v>55</v>
      </c>
      <c r="M110" s="8" t="s">
        <v>54</v>
      </c>
      <c r="N110" s="8" t="s">
        <v>53</v>
      </c>
      <c r="O110" s="8" t="s">
        <v>53</v>
      </c>
      <c r="P110" s="8" t="s">
        <v>53</v>
      </c>
      <c r="Q110" s="8" t="s">
        <v>53</v>
      </c>
      <c r="R110" s="8" t="s">
        <v>53</v>
      </c>
      <c r="S110" s="8" t="s">
        <v>55</v>
      </c>
      <c r="T110" s="8" t="s">
        <v>53</v>
      </c>
      <c r="U110" s="8" t="s">
        <v>54</v>
      </c>
      <c r="V110" s="8" t="s">
        <v>54</v>
      </c>
      <c r="W110" s="8" t="s">
        <v>54</v>
      </c>
      <c r="X110" s="8" t="s">
        <v>54</v>
      </c>
      <c r="Y110" s="8" t="s">
        <v>55</v>
      </c>
      <c r="Z110" s="8" t="s">
        <v>54</v>
      </c>
      <c r="AA110" s="8" t="s">
        <v>53</v>
      </c>
      <c r="AB110" s="8" t="s">
        <v>55</v>
      </c>
      <c r="AC110" s="8" t="s">
        <v>54</v>
      </c>
      <c r="AD110" s="8" t="s">
        <v>55</v>
      </c>
      <c r="AE110" s="8" t="s">
        <v>53</v>
      </c>
      <c r="AF110" s="8" t="s">
        <v>58</v>
      </c>
      <c r="AG110" s="8" t="s">
        <v>63</v>
      </c>
      <c r="AH110" s="8" t="s">
        <v>63</v>
      </c>
      <c r="AI110" s="8" t="s">
        <v>63</v>
      </c>
      <c r="AJ110" s="8" t="s">
        <v>63</v>
      </c>
      <c r="AK110" s="8" t="s">
        <v>56</v>
      </c>
      <c r="AL110" s="8" t="s">
        <v>63</v>
      </c>
      <c r="AM110" s="8" t="s">
        <v>58</v>
      </c>
      <c r="AN110" s="8" t="s">
        <v>63</v>
      </c>
      <c r="AO110" s="8" t="s">
        <v>57</v>
      </c>
      <c r="AP110" s="8" t="s">
        <v>63</v>
      </c>
      <c r="AQ110" s="8" t="s">
        <v>63</v>
      </c>
      <c r="AR110" s="8" t="s">
        <v>63</v>
      </c>
      <c r="AS110" s="8" t="s">
        <v>63</v>
      </c>
      <c r="AT110" s="8" t="s">
        <v>63</v>
      </c>
      <c r="AU110" s="8" t="s">
        <v>63</v>
      </c>
      <c r="AV110" s="8" t="s">
        <v>63</v>
      </c>
      <c r="AW110" s="8" t="s">
        <v>63</v>
      </c>
    </row>
    <row r="111" spans="1:49" ht="16.05" customHeight="1" x14ac:dyDescent="0.3">
      <c r="A111" s="8" t="s">
        <v>388</v>
      </c>
      <c r="B111" s="8" t="s">
        <v>389</v>
      </c>
      <c r="C111" s="9">
        <v>46136.128032407411</v>
      </c>
      <c r="D111" s="10" t="s">
        <v>390</v>
      </c>
      <c r="E111" s="8" t="s">
        <v>339</v>
      </c>
      <c r="F111" s="8">
        <v>17</v>
      </c>
      <c r="G111" s="8" t="s">
        <v>53</v>
      </c>
      <c r="H111" s="8" t="s">
        <v>55</v>
      </c>
      <c r="I111" s="8" t="s">
        <v>55</v>
      </c>
      <c r="J111" s="8" t="s">
        <v>54</v>
      </c>
      <c r="K111" s="8" t="s">
        <v>54</v>
      </c>
      <c r="L111" s="8" t="s">
        <v>54</v>
      </c>
      <c r="M111" s="8" t="s">
        <v>54</v>
      </c>
      <c r="N111" s="8" t="s">
        <v>54</v>
      </c>
      <c r="O111" s="8" t="s">
        <v>54</v>
      </c>
      <c r="P111" s="8" t="s">
        <v>55</v>
      </c>
      <c r="Q111" s="8" t="s">
        <v>53</v>
      </c>
      <c r="R111" s="8" t="s">
        <v>55</v>
      </c>
      <c r="S111" s="8" t="s">
        <v>54</v>
      </c>
      <c r="T111" s="8" t="s">
        <v>55</v>
      </c>
      <c r="U111" s="8" t="s">
        <v>54</v>
      </c>
      <c r="V111" s="8" t="s">
        <v>53</v>
      </c>
      <c r="W111" s="8" t="s">
        <v>53</v>
      </c>
      <c r="X111" s="8" t="s">
        <v>55</v>
      </c>
      <c r="Y111" s="8" t="s">
        <v>53</v>
      </c>
      <c r="Z111" s="8" t="s">
        <v>53</v>
      </c>
      <c r="AA111" s="8" t="s">
        <v>53</v>
      </c>
      <c r="AB111" s="8" t="s">
        <v>55</v>
      </c>
      <c r="AC111" s="8" t="s">
        <v>54</v>
      </c>
      <c r="AD111" s="8" t="s">
        <v>53</v>
      </c>
      <c r="AE111" s="8" t="s">
        <v>54</v>
      </c>
      <c r="AF111" s="8" t="s">
        <v>58</v>
      </c>
      <c r="AG111" s="8" t="s">
        <v>57</v>
      </c>
      <c r="AH111" s="8" t="s">
        <v>58</v>
      </c>
      <c r="AI111" s="8" t="s">
        <v>63</v>
      </c>
      <c r="AJ111" s="8" t="s">
        <v>63</v>
      </c>
      <c r="AK111" s="8" t="s">
        <v>63</v>
      </c>
      <c r="AL111" s="8" t="s">
        <v>63</v>
      </c>
      <c r="AM111" s="8" t="s">
        <v>58</v>
      </c>
      <c r="AN111" s="8" t="s">
        <v>58</v>
      </c>
      <c r="AO111" s="8" t="s">
        <v>58</v>
      </c>
      <c r="AP111" s="8" t="s">
        <v>58</v>
      </c>
      <c r="AQ111" s="8" t="s">
        <v>58</v>
      </c>
      <c r="AR111" s="8" t="s">
        <v>63</v>
      </c>
      <c r="AS111" s="8" t="s">
        <v>58</v>
      </c>
      <c r="AT111" s="8" t="s">
        <v>63</v>
      </c>
      <c r="AU111" s="8" t="s">
        <v>58</v>
      </c>
      <c r="AV111" s="8" t="s">
        <v>63</v>
      </c>
      <c r="AW111" s="8" t="s">
        <v>63</v>
      </c>
    </row>
    <row r="112" spans="1:49" ht="16.05" customHeight="1" x14ac:dyDescent="0.3">
      <c r="A112" s="8" t="s">
        <v>391</v>
      </c>
      <c r="B112" s="8" t="s">
        <v>392</v>
      </c>
      <c r="C112" s="9">
        <v>46136.128067129634</v>
      </c>
      <c r="D112" s="10" t="s">
        <v>393</v>
      </c>
      <c r="E112" s="8" t="s">
        <v>339</v>
      </c>
      <c r="F112" s="8">
        <v>17</v>
      </c>
      <c r="G112" s="8" t="s">
        <v>53</v>
      </c>
      <c r="H112" s="8" t="s">
        <v>54</v>
      </c>
      <c r="I112" s="8" t="s">
        <v>54</v>
      </c>
      <c r="J112" s="8" t="s">
        <v>53</v>
      </c>
      <c r="K112" s="8" t="s">
        <v>53</v>
      </c>
      <c r="L112" s="8" t="s">
        <v>54</v>
      </c>
      <c r="M112" s="8" t="s">
        <v>55</v>
      </c>
      <c r="N112" s="8" t="s">
        <v>53</v>
      </c>
      <c r="O112" s="8" t="s">
        <v>53</v>
      </c>
      <c r="P112" s="8" t="s">
        <v>53</v>
      </c>
      <c r="Q112" s="8" t="s">
        <v>53</v>
      </c>
      <c r="R112" s="8" t="s">
        <v>53</v>
      </c>
      <c r="S112" s="8" t="s">
        <v>53</v>
      </c>
      <c r="T112" s="8" t="s">
        <v>55</v>
      </c>
      <c r="U112" s="8" t="s">
        <v>54</v>
      </c>
      <c r="V112" s="8" t="s">
        <v>55</v>
      </c>
      <c r="W112" s="8" t="s">
        <v>53</v>
      </c>
      <c r="X112" s="8" t="s">
        <v>55</v>
      </c>
      <c r="Y112" s="8" t="s">
        <v>55</v>
      </c>
      <c r="Z112" s="8" t="s">
        <v>53</v>
      </c>
      <c r="AA112" s="8" t="s">
        <v>55</v>
      </c>
      <c r="AB112" s="8" t="s">
        <v>55</v>
      </c>
      <c r="AC112" s="8" t="s">
        <v>53</v>
      </c>
      <c r="AD112" s="8" t="s">
        <v>54</v>
      </c>
      <c r="AE112" s="8" t="s">
        <v>53</v>
      </c>
      <c r="AF112" s="8" t="s">
        <v>63</v>
      </c>
      <c r="AG112" s="8" t="s">
        <v>58</v>
      </c>
      <c r="AH112" s="8" t="s">
        <v>59</v>
      </c>
      <c r="AI112" s="8" t="s">
        <v>57</v>
      </c>
      <c r="AJ112" s="8" t="s">
        <v>56</v>
      </c>
      <c r="AK112" s="8" t="s">
        <v>63</v>
      </c>
      <c r="AL112" s="8" t="s">
        <v>58</v>
      </c>
      <c r="AM112" s="8" t="s">
        <v>59</v>
      </c>
      <c r="AN112" s="8" t="s">
        <v>63</v>
      </c>
      <c r="AO112" s="8" t="s">
        <v>59</v>
      </c>
      <c r="AP112" s="8" t="s">
        <v>59</v>
      </c>
      <c r="AQ112" s="8" t="s">
        <v>59</v>
      </c>
      <c r="AR112" s="8" t="s">
        <v>57</v>
      </c>
      <c r="AS112" s="8" t="s">
        <v>57</v>
      </c>
      <c r="AT112" s="8" t="s">
        <v>56</v>
      </c>
      <c r="AU112" s="8" t="s">
        <v>59</v>
      </c>
      <c r="AV112" s="8" t="s">
        <v>63</v>
      </c>
      <c r="AW112" s="8" t="s">
        <v>56</v>
      </c>
    </row>
    <row r="113" spans="1:49" ht="16.05" customHeight="1" x14ac:dyDescent="0.3">
      <c r="A113" s="8" t="s">
        <v>394</v>
      </c>
      <c r="B113" s="8" t="s">
        <v>395</v>
      </c>
      <c r="C113" s="9">
        <v>46136.128298611111</v>
      </c>
      <c r="D113" s="10" t="s">
        <v>396</v>
      </c>
      <c r="E113" s="8" t="s">
        <v>339</v>
      </c>
      <c r="F113" s="8">
        <v>16</v>
      </c>
      <c r="G113" s="8" t="s">
        <v>53</v>
      </c>
      <c r="H113" s="8" t="s">
        <v>54</v>
      </c>
      <c r="I113" s="8" t="s">
        <v>54</v>
      </c>
      <c r="J113" s="8" t="s">
        <v>54</v>
      </c>
      <c r="K113" s="8" t="s">
        <v>55</v>
      </c>
      <c r="L113" s="8" t="s">
        <v>55</v>
      </c>
      <c r="M113" s="8" t="s">
        <v>54</v>
      </c>
      <c r="N113" s="8" t="s">
        <v>54</v>
      </c>
      <c r="O113" s="8" t="s">
        <v>53</v>
      </c>
      <c r="P113" s="8" t="s">
        <v>55</v>
      </c>
      <c r="Q113" s="8" t="s">
        <v>53</v>
      </c>
      <c r="R113" s="8" t="s">
        <v>55</v>
      </c>
      <c r="S113" s="8" t="s">
        <v>55</v>
      </c>
      <c r="T113" s="8" t="s">
        <v>53</v>
      </c>
      <c r="U113" s="8" t="s">
        <v>54</v>
      </c>
      <c r="V113" s="8" t="s">
        <v>54</v>
      </c>
      <c r="W113" s="8" t="s">
        <v>55</v>
      </c>
      <c r="X113" s="8" t="s">
        <v>54</v>
      </c>
      <c r="Y113" s="8" t="s">
        <v>55</v>
      </c>
      <c r="Z113" s="8" t="s">
        <v>53</v>
      </c>
      <c r="AA113" s="8" t="s">
        <v>53</v>
      </c>
      <c r="AB113" s="8" t="s">
        <v>55</v>
      </c>
      <c r="AC113" s="8" t="s">
        <v>53</v>
      </c>
      <c r="AD113" s="8" t="s">
        <v>54</v>
      </c>
      <c r="AE113" s="8" t="s">
        <v>54</v>
      </c>
      <c r="AF113" s="8" t="s">
        <v>58</v>
      </c>
      <c r="AG113" s="8" t="s">
        <v>58</v>
      </c>
      <c r="AH113" s="8" t="s">
        <v>58</v>
      </c>
      <c r="AI113" s="8" t="s">
        <v>58</v>
      </c>
      <c r="AJ113" s="8" t="s">
        <v>58</v>
      </c>
      <c r="AK113" s="8" t="s">
        <v>58</v>
      </c>
      <c r="AL113" s="8" t="s">
        <v>58</v>
      </c>
      <c r="AM113" s="8" t="s">
        <v>58</v>
      </c>
      <c r="AN113" s="8" t="s">
        <v>58</v>
      </c>
      <c r="AO113" s="8" t="s">
        <v>58</v>
      </c>
      <c r="AP113" s="8" t="s">
        <v>58</v>
      </c>
      <c r="AQ113" s="8" t="s">
        <v>58</v>
      </c>
      <c r="AR113" s="8" t="s">
        <v>63</v>
      </c>
      <c r="AS113" s="8" t="s">
        <v>58</v>
      </c>
      <c r="AT113" s="8" t="s">
        <v>63</v>
      </c>
      <c r="AU113" s="8" t="s">
        <v>58</v>
      </c>
      <c r="AV113" s="8" t="s">
        <v>58</v>
      </c>
      <c r="AW113" s="8" t="s">
        <v>58</v>
      </c>
    </row>
    <row r="114" spans="1:49" ht="16.05" customHeight="1" x14ac:dyDescent="0.3">
      <c r="A114" s="8" t="s">
        <v>397</v>
      </c>
      <c r="B114" s="8" t="s">
        <v>398</v>
      </c>
      <c r="C114" s="9">
        <v>46136.128333333327</v>
      </c>
      <c r="D114" s="10" t="s">
        <v>399</v>
      </c>
      <c r="E114" s="8" t="s">
        <v>339</v>
      </c>
      <c r="F114" s="8">
        <v>17</v>
      </c>
      <c r="G114" s="8" t="s">
        <v>53</v>
      </c>
      <c r="H114" s="8" t="s">
        <v>54</v>
      </c>
      <c r="I114" s="8" t="s">
        <v>55</v>
      </c>
      <c r="J114" s="8" t="s">
        <v>53</v>
      </c>
      <c r="K114" s="8" t="s">
        <v>53</v>
      </c>
      <c r="L114" s="8" t="s">
        <v>53</v>
      </c>
      <c r="M114" s="8" t="s">
        <v>53</v>
      </c>
      <c r="N114" s="8" t="s">
        <v>53</v>
      </c>
      <c r="O114" s="8" t="s">
        <v>53</v>
      </c>
      <c r="P114" s="8" t="s">
        <v>55</v>
      </c>
      <c r="Q114" s="8" t="s">
        <v>53</v>
      </c>
      <c r="R114" s="8" t="s">
        <v>55</v>
      </c>
      <c r="S114" s="8" t="s">
        <v>54</v>
      </c>
      <c r="T114" s="8" t="s">
        <v>53</v>
      </c>
      <c r="U114" s="8" t="s">
        <v>54</v>
      </c>
      <c r="V114" s="8" t="s">
        <v>55</v>
      </c>
      <c r="W114" s="8" t="s">
        <v>53</v>
      </c>
      <c r="X114" s="8" t="s">
        <v>55</v>
      </c>
      <c r="Y114" s="8" t="s">
        <v>55</v>
      </c>
      <c r="Z114" s="8" t="s">
        <v>54</v>
      </c>
      <c r="AA114" s="8" t="s">
        <v>53</v>
      </c>
      <c r="AB114" s="8" t="s">
        <v>55</v>
      </c>
      <c r="AC114" s="8" t="s">
        <v>53</v>
      </c>
      <c r="AD114" s="8" t="s">
        <v>55</v>
      </c>
      <c r="AE114" s="8" t="s">
        <v>53</v>
      </c>
      <c r="AF114" s="8" t="s">
        <v>57</v>
      </c>
      <c r="AG114" s="8" t="s">
        <v>57</v>
      </c>
      <c r="AH114" s="8" t="s">
        <v>57</v>
      </c>
      <c r="AI114" s="8" t="s">
        <v>63</v>
      </c>
      <c r="AJ114" s="8" t="s">
        <v>63</v>
      </c>
      <c r="AK114" s="8" t="s">
        <v>58</v>
      </c>
      <c r="AL114" s="8" t="s">
        <v>58</v>
      </c>
      <c r="AM114" s="8" t="s">
        <v>56</v>
      </c>
      <c r="AN114" s="8" t="s">
        <v>56</v>
      </c>
      <c r="AO114" s="8" t="s">
        <v>59</v>
      </c>
      <c r="AP114" s="8" t="s">
        <v>63</v>
      </c>
      <c r="AQ114" s="8" t="s">
        <v>58</v>
      </c>
      <c r="AR114" s="8" t="s">
        <v>57</v>
      </c>
      <c r="AS114" s="8" t="s">
        <v>56</v>
      </c>
      <c r="AT114" s="8" t="s">
        <v>57</v>
      </c>
      <c r="AU114" s="8" t="s">
        <v>58</v>
      </c>
      <c r="AV114" s="8" t="s">
        <v>57</v>
      </c>
      <c r="AW114" s="8" t="s">
        <v>59</v>
      </c>
    </row>
    <row r="115" spans="1:49" ht="16.05" customHeight="1" x14ac:dyDescent="0.3">
      <c r="A115" s="8" t="s">
        <v>400</v>
      </c>
      <c r="B115" s="8" t="s">
        <v>401</v>
      </c>
      <c r="C115" s="9">
        <v>46136.128750000003</v>
      </c>
      <c r="D115" s="10" t="s">
        <v>402</v>
      </c>
      <c r="E115" s="8" t="s">
        <v>339</v>
      </c>
      <c r="F115" s="8">
        <v>17</v>
      </c>
      <c r="G115" s="8" t="s">
        <v>54</v>
      </c>
      <c r="H115" s="8" t="s">
        <v>55</v>
      </c>
      <c r="I115" s="8" t="s">
        <v>55</v>
      </c>
      <c r="J115" s="8" t="s">
        <v>54</v>
      </c>
      <c r="K115" s="8" t="s">
        <v>55</v>
      </c>
      <c r="L115" s="8" t="s">
        <v>55</v>
      </c>
      <c r="M115" s="8" t="s">
        <v>54</v>
      </c>
      <c r="N115" s="8" t="s">
        <v>55</v>
      </c>
      <c r="O115" s="8" t="s">
        <v>54</v>
      </c>
      <c r="P115" s="8" t="s">
        <v>55</v>
      </c>
      <c r="Q115" s="8" t="s">
        <v>54</v>
      </c>
      <c r="R115" s="8" t="s">
        <v>55</v>
      </c>
      <c r="S115" s="8" t="s">
        <v>55</v>
      </c>
      <c r="T115" s="8" t="s">
        <v>54</v>
      </c>
      <c r="U115" s="8" t="s">
        <v>55</v>
      </c>
      <c r="V115" s="8" t="s">
        <v>55</v>
      </c>
      <c r="W115" s="8" t="s">
        <v>53</v>
      </c>
      <c r="X115" s="8" t="s">
        <v>55</v>
      </c>
      <c r="Y115" s="8" t="s">
        <v>55</v>
      </c>
      <c r="Z115" s="8" t="s">
        <v>54</v>
      </c>
      <c r="AA115" s="8" t="s">
        <v>53</v>
      </c>
      <c r="AB115" s="8" t="s">
        <v>55</v>
      </c>
      <c r="AC115" s="8" t="s">
        <v>54</v>
      </c>
      <c r="AD115" s="8" t="s">
        <v>55</v>
      </c>
      <c r="AE115" s="8" t="s">
        <v>53</v>
      </c>
      <c r="AF115" s="8" t="s">
        <v>57</v>
      </c>
      <c r="AG115" s="8" t="s">
        <v>58</v>
      </c>
      <c r="AH115" s="8" t="s">
        <v>58</v>
      </c>
      <c r="AI115" s="8" t="s">
        <v>63</v>
      </c>
      <c r="AJ115" s="8" t="s">
        <v>58</v>
      </c>
      <c r="AK115" s="8" t="s">
        <v>63</v>
      </c>
      <c r="AL115" s="8" t="s">
        <v>63</v>
      </c>
      <c r="AM115" s="8" t="s">
        <v>63</v>
      </c>
      <c r="AN115" s="8" t="s">
        <v>58</v>
      </c>
      <c r="AO115" s="8" t="s">
        <v>58</v>
      </c>
      <c r="AP115" s="8" t="s">
        <v>58</v>
      </c>
      <c r="AQ115" s="8" t="s">
        <v>58</v>
      </c>
      <c r="AR115" s="8" t="s">
        <v>63</v>
      </c>
      <c r="AS115" s="8" t="s">
        <v>58</v>
      </c>
      <c r="AT115" s="8" t="s">
        <v>63</v>
      </c>
      <c r="AU115" s="8" t="s">
        <v>58</v>
      </c>
      <c r="AV115" s="8" t="s">
        <v>63</v>
      </c>
      <c r="AW115" s="8" t="s">
        <v>58</v>
      </c>
    </row>
    <row r="116" spans="1:49" ht="16.05" customHeight="1" x14ac:dyDescent="0.3">
      <c r="A116" s="8" t="s">
        <v>403</v>
      </c>
      <c r="B116" s="8" t="s">
        <v>404</v>
      </c>
      <c r="C116" s="9">
        <v>46136.128842592603</v>
      </c>
      <c r="D116" s="10" t="s">
        <v>405</v>
      </c>
      <c r="E116" s="8" t="s">
        <v>339</v>
      </c>
      <c r="F116" s="8">
        <v>16</v>
      </c>
      <c r="G116" s="8" t="s">
        <v>53</v>
      </c>
      <c r="H116" s="8" t="s">
        <v>55</v>
      </c>
      <c r="I116" s="8" t="s">
        <v>55</v>
      </c>
      <c r="J116" s="8" t="s">
        <v>53</v>
      </c>
      <c r="K116" s="8" t="s">
        <v>55</v>
      </c>
      <c r="L116" s="8" t="s">
        <v>55</v>
      </c>
      <c r="M116" s="8" t="s">
        <v>54</v>
      </c>
      <c r="N116" s="8" t="s">
        <v>55</v>
      </c>
      <c r="O116" s="8" t="s">
        <v>53</v>
      </c>
      <c r="P116" s="8" t="s">
        <v>55</v>
      </c>
      <c r="Q116" s="8" t="s">
        <v>53</v>
      </c>
      <c r="R116" s="8" t="s">
        <v>55</v>
      </c>
      <c r="S116" s="8" t="s">
        <v>55</v>
      </c>
      <c r="T116" s="8" t="s">
        <v>54</v>
      </c>
      <c r="U116" s="8" t="s">
        <v>55</v>
      </c>
      <c r="V116" s="8" t="s">
        <v>54</v>
      </c>
      <c r="W116" s="8" t="s">
        <v>53</v>
      </c>
      <c r="X116" s="8" t="s">
        <v>55</v>
      </c>
      <c r="Y116" s="8" t="s">
        <v>55</v>
      </c>
      <c r="Z116" s="8" t="s">
        <v>53</v>
      </c>
      <c r="AA116" s="8" t="s">
        <v>53</v>
      </c>
      <c r="AB116" s="8" t="s">
        <v>55</v>
      </c>
      <c r="AC116" s="8" t="s">
        <v>54</v>
      </c>
      <c r="AD116" s="8" t="s">
        <v>55</v>
      </c>
      <c r="AE116" s="8" t="s">
        <v>53</v>
      </c>
      <c r="AF116" s="8" t="s">
        <v>57</v>
      </c>
      <c r="AG116" s="8" t="s">
        <v>58</v>
      </c>
      <c r="AH116" s="8" t="s">
        <v>58</v>
      </c>
      <c r="AI116" s="8" t="s">
        <v>63</v>
      </c>
      <c r="AJ116" s="8" t="s">
        <v>63</v>
      </c>
      <c r="AK116" s="8" t="s">
        <v>63</v>
      </c>
      <c r="AL116" s="8" t="s">
        <v>63</v>
      </c>
      <c r="AM116" s="8" t="s">
        <v>57</v>
      </c>
      <c r="AN116" s="8" t="s">
        <v>57</v>
      </c>
      <c r="AO116" s="8" t="s">
        <v>57</v>
      </c>
      <c r="AP116" s="8" t="s">
        <v>63</v>
      </c>
      <c r="AQ116" s="8" t="s">
        <v>57</v>
      </c>
      <c r="AR116" s="8" t="s">
        <v>58</v>
      </c>
      <c r="AS116" s="8" t="s">
        <v>58</v>
      </c>
      <c r="AT116" s="8" t="s">
        <v>63</v>
      </c>
      <c r="AU116" s="8" t="s">
        <v>57</v>
      </c>
      <c r="AV116" s="8" t="s">
        <v>63</v>
      </c>
      <c r="AW116" s="8" t="s">
        <v>57</v>
      </c>
    </row>
    <row r="117" spans="1:49" ht="16.05" customHeight="1" x14ac:dyDescent="0.3">
      <c r="A117" s="8" t="s">
        <v>406</v>
      </c>
      <c r="B117" s="8" t="s">
        <v>407</v>
      </c>
      <c r="C117" s="9">
        <v>46136.128969907397</v>
      </c>
      <c r="D117" s="10" t="s">
        <v>408</v>
      </c>
      <c r="E117" s="8" t="s">
        <v>339</v>
      </c>
      <c r="F117" s="8">
        <v>17</v>
      </c>
      <c r="G117" s="8" t="s">
        <v>53</v>
      </c>
      <c r="H117" s="8" t="s">
        <v>54</v>
      </c>
      <c r="I117" s="8" t="s">
        <v>55</v>
      </c>
      <c r="J117" s="8" t="s">
        <v>53</v>
      </c>
      <c r="K117" s="8" t="s">
        <v>54</v>
      </c>
      <c r="L117" s="8" t="s">
        <v>54</v>
      </c>
      <c r="M117" s="8" t="s">
        <v>54</v>
      </c>
      <c r="N117" s="8" t="s">
        <v>54</v>
      </c>
      <c r="O117" s="8" t="s">
        <v>54</v>
      </c>
      <c r="P117" s="8" t="s">
        <v>54</v>
      </c>
      <c r="Q117" s="8" t="s">
        <v>54</v>
      </c>
      <c r="R117" s="8" t="s">
        <v>54</v>
      </c>
      <c r="S117" s="8" t="s">
        <v>54</v>
      </c>
      <c r="T117" s="8" t="s">
        <v>54</v>
      </c>
      <c r="U117" s="8" t="s">
        <v>54</v>
      </c>
      <c r="V117" s="8" t="s">
        <v>54</v>
      </c>
      <c r="W117" s="8" t="s">
        <v>54</v>
      </c>
      <c r="X117" s="8" t="s">
        <v>54</v>
      </c>
      <c r="Y117" s="8" t="s">
        <v>54</v>
      </c>
      <c r="Z117" s="8" t="s">
        <v>54</v>
      </c>
      <c r="AA117" s="8" t="s">
        <v>54</v>
      </c>
      <c r="AB117" s="8" t="s">
        <v>54</v>
      </c>
      <c r="AC117" s="8" t="s">
        <v>54</v>
      </c>
      <c r="AD117" s="8" t="s">
        <v>54</v>
      </c>
      <c r="AE117" s="8" t="s">
        <v>54</v>
      </c>
      <c r="AF117" s="8" t="s">
        <v>57</v>
      </c>
      <c r="AG117" s="8" t="s">
        <v>57</v>
      </c>
      <c r="AH117" s="8" t="s">
        <v>57</v>
      </c>
      <c r="AI117" s="8" t="s">
        <v>57</v>
      </c>
      <c r="AJ117" s="8" t="s">
        <v>57</v>
      </c>
      <c r="AK117" s="8" t="s">
        <v>57</v>
      </c>
      <c r="AL117" s="8" t="s">
        <v>57</v>
      </c>
      <c r="AM117" s="8" t="s">
        <v>57</v>
      </c>
      <c r="AN117" s="8" t="s">
        <v>57</v>
      </c>
      <c r="AO117" s="8" t="s">
        <v>57</v>
      </c>
      <c r="AP117" s="8" t="s">
        <v>57</v>
      </c>
      <c r="AQ117" s="8" t="s">
        <v>57</v>
      </c>
      <c r="AR117" s="8" t="s">
        <v>57</v>
      </c>
      <c r="AS117" s="8" t="s">
        <v>57</v>
      </c>
      <c r="AT117" s="8" t="s">
        <v>57</v>
      </c>
      <c r="AU117" s="8" t="s">
        <v>57</v>
      </c>
      <c r="AV117" s="8" t="s">
        <v>57</v>
      </c>
      <c r="AW117" s="8" t="s">
        <v>57</v>
      </c>
    </row>
    <row r="118" spans="1:49" ht="16.05" customHeight="1" x14ac:dyDescent="0.3">
      <c r="A118" s="8" t="s">
        <v>409</v>
      </c>
      <c r="B118" s="8" t="s">
        <v>410</v>
      </c>
      <c r="C118" s="9">
        <v>46136.129004629627</v>
      </c>
      <c r="D118" s="10" t="s">
        <v>411</v>
      </c>
      <c r="E118" s="8" t="s">
        <v>339</v>
      </c>
      <c r="F118" s="8">
        <v>17</v>
      </c>
      <c r="G118" s="8" t="s">
        <v>53</v>
      </c>
      <c r="H118" s="8" t="s">
        <v>53</v>
      </c>
      <c r="I118" s="8" t="s">
        <v>54</v>
      </c>
      <c r="J118" s="8" t="s">
        <v>53</v>
      </c>
      <c r="K118" s="8" t="s">
        <v>54</v>
      </c>
      <c r="L118" s="8" t="s">
        <v>55</v>
      </c>
      <c r="M118" s="8" t="s">
        <v>54</v>
      </c>
      <c r="N118" s="8" t="s">
        <v>53</v>
      </c>
      <c r="O118" s="8" t="s">
        <v>53</v>
      </c>
      <c r="P118" s="8" t="s">
        <v>53</v>
      </c>
      <c r="Q118" s="8" t="s">
        <v>53</v>
      </c>
      <c r="R118" s="8" t="s">
        <v>55</v>
      </c>
      <c r="S118" s="8" t="s">
        <v>54</v>
      </c>
      <c r="T118" s="8" t="s">
        <v>54</v>
      </c>
      <c r="U118" s="8" t="s">
        <v>53</v>
      </c>
      <c r="V118" s="8" t="s">
        <v>54</v>
      </c>
      <c r="W118" s="8" t="s">
        <v>53</v>
      </c>
      <c r="X118" s="8" t="s">
        <v>55</v>
      </c>
      <c r="Y118" s="8" t="s">
        <v>54</v>
      </c>
      <c r="Z118" s="8" t="s">
        <v>53</v>
      </c>
      <c r="AA118" s="8" t="s">
        <v>53</v>
      </c>
      <c r="AB118" s="8" t="s">
        <v>55</v>
      </c>
      <c r="AC118" s="8" t="s">
        <v>55</v>
      </c>
      <c r="AD118" s="8" t="s">
        <v>54</v>
      </c>
      <c r="AE118" s="8" t="s">
        <v>53</v>
      </c>
      <c r="AF118" s="8" t="s">
        <v>56</v>
      </c>
      <c r="AG118" s="8" t="s">
        <v>57</v>
      </c>
      <c r="AH118" s="8" t="s">
        <v>58</v>
      </c>
      <c r="AI118" s="8" t="s">
        <v>56</v>
      </c>
      <c r="AJ118" s="8" t="s">
        <v>56</v>
      </c>
      <c r="AK118" s="8" t="s">
        <v>57</v>
      </c>
      <c r="AL118" s="8" t="s">
        <v>57</v>
      </c>
      <c r="AM118" s="8" t="s">
        <v>58</v>
      </c>
      <c r="AN118" s="8" t="s">
        <v>59</v>
      </c>
      <c r="AO118" s="8" t="s">
        <v>58</v>
      </c>
      <c r="AP118" s="8" t="s">
        <v>63</v>
      </c>
      <c r="AQ118" s="8" t="s">
        <v>58</v>
      </c>
      <c r="AR118" s="8" t="s">
        <v>58</v>
      </c>
      <c r="AS118" s="8" t="s">
        <v>56</v>
      </c>
      <c r="AT118" s="8" t="s">
        <v>58</v>
      </c>
      <c r="AU118" s="8" t="s">
        <v>57</v>
      </c>
      <c r="AV118" s="8" t="s">
        <v>56</v>
      </c>
      <c r="AW118" s="8" t="s">
        <v>58</v>
      </c>
    </row>
    <row r="119" spans="1:49" ht="16.05" customHeight="1" x14ac:dyDescent="0.3">
      <c r="A119" s="8" t="s">
        <v>412</v>
      </c>
      <c r="B119" s="8" t="s">
        <v>413</v>
      </c>
      <c r="C119" s="9">
        <v>46136.129131944443</v>
      </c>
      <c r="D119" s="10" t="s">
        <v>414</v>
      </c>
      <c r="E119" s="8" t="s">
        <v>339</v>
      </c>
      <c r="F119" s="8">
        <v>17</v>
      </c>
      <c r="G119" s="8" t="s">
        <v>53</v>
      </c>
      <c r="H119" s="8" t="s">
        <v>54</v>
      </c>
      <c r="I119" s="8" t="s">
        <v>55</v>
      </c>
      <c r="J119" s="8" t="s">
        <v>53</v>
      </c>
      <c r="K119" s="8" t="s">
        <v>55</v>
      </c>
      <c r="L119" s="8" t="s">
        <v>55</v>
      </c>
      <c r="M119" s="8" t="s">
        <v>54</v>
      </c>
      <c r="N119" s="8" t="s">
        <v>55</v>
      </c>
      <c r="O119" s="8" t="s">
        <v>54</v>
      </c>
      <c r="P119" s="8" t="s">
        <v>55</v>
      </c>
      <c r="Q119" s="8" t="s">
        <v>54</v>
      </c>
      <c r="R119" s="8" t="s">
        <v>54</v>
      </c>
      <c r="S119" s="8" t="s">
        <v>55</v>
      </c>
      <c r="T119" s="8" t="s">
        <v>53</v>
      </c>
      <c r="U119" s="8" t="s">
        <v>55</v>
      </c>
      <c r="V119" s="8" t="s">
        <v>55</v>
      </c>
      <c r="W119" s="8" t="s">
        <v>53</v>
      </c>
      <c r="X119" s="8" t="s">
        <v>55</v>
      </c>
      <c r="Y119" s="8" t="s">
        <v>53</v>
      </c>
      <c r="Z119" s="8" t="s">
        <v>53</v>
      </c>
      <c r="AA119" s="8" t="s">
        <v>53</v>
      </c>
      <c r="AB119" s="8" t="s">
        <v>54</v>
      </c>
      <c r="AC119" s="8" t="s">
        <v>55</v>
      </c>
      <c r="AD119" s="8" t="s">
        <v>55</v>
      </c>
      <c r="AE119" s="8" t="s">
        <v>53</v>
      </c>
      <c r="AF119" s="8" t="s">
        <v>58</v>
      </c>
      <c r="AG119" s="8" t="s">
        <v>63</v>
      </c>
      <c r="AH119" s="8" t="s">
        <v>63</v>
      </c>
      <c r="AI119" s="8" t="s">
        <v>63</v>
      </c>
      <c r="AJ119" s="8" t="s">
        <v>63</v>
      </c>
      <c r="AK119" s="8" t="s">
        <v>58</v>
      </c>
      <c r="AL119" s="8" t="s">
        <v>63</v>
      </c>
      <c r="AM119" s="8" t="s">
        <v>56</v>
      </c>
      <c r="AN119" s="8" t="s">
        <v>63</v>
      </c>
      <c r="AO119" s="8" t="s">
        <v>63</v>
      </c>
      <c r="AP119" s="8" t="s">
        <v>57</v>
      </c>
      <c r="AQ119" s="8" t="s">
        <v>63</v>
      </c>
      <c r="AR119" s="8" t="s">
        <v>63</v>
      </c>
      <c r="AS119" s="8" t="s">
        <v>58</v>
      </c>
      <c r="AT119" s="8" t="s">
        <v>63</v>
      </c>
      <c r="AU119" s="8" t="s">
        <v>63</v>
      </c>
      <c r="AV119" s="8" t="s">
        <v>63</v>
      </c>
      <c r="AW119" s="8" t="s">
        <v>63</v>
      </c>
    </row>
    <row r="120" spans="1:49" ht="16.05" customHeight="1" x14ac:dyDescent="0.3">
      <c r="A120" s="8" t="s">
        <v>415</v>
      </c>
      <c r="B120" s="8" t="s">
        <v>416</v>
      </c>
      <c r="C120" s="9">
        <v>46136.129143518519</v>
      </c>
      <c r="D120" s="10" t="s">
        <v>417</v>
      </c>
      <c r="E120" s="8" t="s">
        <v>339</v>
      </c>
      <c r="F120" s="8">
        <v>17</v>
      </c>
      <c r="G120" s="8" t="s">
        <v>53</v>
      </c>
      <c r="H120" s="8" t="s">
        <v>54</v>
      </c>
      <c r="I120" s="8" t="s">
        <v>55</v>
      </c>
      <c r="J120" s="8" t="s">
        <v>53</v>
      </c>
      <c r="K120" s="8" t="s">
        <v>54</v>
      </c>
      <c r="L120" s="8" t="s">
        <v>55</v>
      </c>
      <c r="M120" s="8" t="s">
        <v>55</v>
      </c>
      <c r="N120" s="8" t="s">
        <v>54</v>
      </c>
      <c r="O120" s="8" t="s">
        <v>53</v>
      </c>
      <c r="P120" s="8" t="s">
        <v>53</v>
      </c>
      <c r="Q120" s="8" t="s">
        <v>53</v>
      </c>
      <c r="R120" s="8" t="s">
        <v>54</v>
      </c>
      <c r="S120" s="8" t="s">
        <v>55</v>
      </c>
      <c r="T120" s="8" t="s">
        <v>54</v>
      </c>
      <c r="U120" s="8" t="s">
        <v>53</v>
      </c>
      <c r="V120" s="8" t="s">
        <v>54</v>
      </c>
      <c r="W120" s="8" t="s">
        <v>53</v>
      </c>
      <c r="X120" s="8" t="s">
        <v>53</v>
      </c>
      <c r="Y120" s="8" t="s">
        <v>55</v>
      </c>
      <c r="Z120" s="8" t="s">
        <v>53</v>
      </c>
      <c r="AA120" s="8" t="s">
        <v>53</v>
      </c>
      <c r="AB120" s="8" t="s">
        <v>55</v>
      </c>
      <c r="AC120" s="8" t="s">
        <v>55</v>
      </c>
      <c r="AD120" s="8" t="s">
        <v>53</v>
      </c>
      <c r="AE120" s="8" t="s">
        <v>53</v>
      </c>
      <c r="AF120" s="8" t="s">
        <v>59</v>
      </c>
      <c r="AG120" s="8" t="s">
        <v>56</v>
      </c>
      <c r="AH120" s="8" t="s">
        <v>59</v>
      </c>
      <c r="AI120" s="8" t="s">
        <v>63</v>
      </c>
      <c r="AJ120" s="8" t="s">
        <v>59</v>
      </c>
      <c r="AK120" s="8" t="s">
        <v>57</v>
      </c>
      <c r="AL120" s="8" t="s">
        <v>63</v>
      </c>
      <c r="AM120" s="8" t="s">
        <v>59</v>
      </c>
      <c r="AN120" s="8" t="s">
        <v>58</v>
      </c>
      <c r="AO120" s="8" t="s">
        <v>59</v>
      </c>
      <c r="AP120" s="8" t="s">
        <v>63</v>
      </c>
      <c r="AQ120" s="8" t="s">
        <v>57</v>
      </c>
      <c r="AR120" s="8" t="s">
        <v>56</v>
      </c>
      <c r="AS120" s="8" t="s">
        <v>57</v>
      </c>
      <c r="AT120" s="8" t="s">
        <v>57</v>
      </c>
      <c r="AU120" s="8" t="s">
        <v>59</v>
      </c>
      <c r="AV120" s="8" t="s">
        <v>58</v>
      </c>
      <c r="AW120" s="8" t="s">
        <v>57</v>
      </c>
    </row>
    <row r="121" spans="1:49" ht="16.05" customHeight="1" x14ac:dyDescent="0.3">
      <c r="A121" s="8" t="s">
        <v>418</v>
      </c>
      <c r="B121" s="8" t="s">
        <v>419</v>
      </c>
      <c r="C121" s="9">
        <v>46136.129328703697</v>
      </c>
      <c r="D121" s="10" t="s">
        <v>420</v>
      </c>
      <c r="E121" s="8" t="s">
        <v>339</v>
      </c>
      <c r="F121" s="8">
        <v>17</v>
      </c>
      <c r="G121" s="8" t="s">
        <v>53</v>
      </c>
      <c r="H121" s="8" t="s">
        <v>55</v>
      </c>
      <c r="I121" s="8" t="s">
        <v>55</v>
      </c>
      <c r="J121" s="8" t="s">
        <v>54</v>
      </c>
      <c r="K121" s="8" t="s">
        <v>54</v>
      </c>
      <c r="L121" s="8" t="s">
        <v>54</v>
      </c>
      <c r="M121" s="8" t="s">
        <v>54</v>
      </c>
      <c r="N121" s="8" t="s">
        <v>54</v>
      </c>
      <c r="O121" s="8" t="s">
        <v>54</v>
      </c>
      <c r="P121" s="8" t="s">
        <v>54</v>
      </c>
      <c r="Q121" s="8" t="s">
        <v>53</v>
      </c>
      <c r="R121" s="8" t="s">
        <v>55</v>
      </c>
      <c r="S121" s="8" t="s">
        <v>54</v>
      </c>
      <c r="T121" s="8" t="s">
        <v>54</v>
      </c>
      <c r="U121" s="8" t="s">
        <v>55</v>
      </c>
      <c r="V121" s="8" t="s">
        <v>55</v>
      </c>
      <c r="W121" s="8" t="s">
        <v>53</v>
      </c>
      <c r="X121" s="8" t="s">
        <v>55</v>
      </c>
      <c r="Y121" s="8" t="s">
        <v>54</v>
      </c>
      <c r="Z121" s="8" t="s">
        <v>54</v>
      </c>
      <c r="AA121" s="8" t="s">
        <v>53</v>
      </c>
      <c r="AB121" s="8" t="s">
        <v>55</v>
      </c>
      <c r="AC121" s="8" t="s">
        <v>55</v>
      </c>
      <c r="AD121" s="8" t="s">
        <v>55</v>
      </c>
      <c r="AE121" s="8" t="s">
        <v>54</v>
      </c>
      <c r="AF121" s="8" t="s">
        <v>57</v>
      </c>
      <c r="AG121" s="8" t="s">
        <v>58</v>
      </c>
      <c r="AH121" s="8" t="s">
        <v>57</v>
      </c>
      <c r="AI121" s="8" t="s">
        <v>63</v>
      </c>
      <c r="AJ121" s="8" t="s">
        <v>58</v>
      </c>
      <c r="AK121" s="8" t="s">
        <v>58</v>
      </c>
      <c r="AL121" s="8" t="s">
        <v>58</v>
      </c>
      <c r="AM121" s="8" t="s">
        <v>56</v>
      </c>
      <c r="AN121" s="8" t="s">
        <v>57</v>
      </c>
      <c r="AO121" s="8" t="s">
        <v>57</v>
      </c>
      <c r="AP121" s="8" t="s">
        <v>63</v>
      </c>
      <c r="AQ121" s="8" t="s">
        <v>63</v>
      </c>
      <c r="AR121" s="8" t="s">
        <v>58</v>
      </c>
      <c r="AS121" s="8" t="s">
        <v>63</v>
      </c>
      <c r="AT121" s="8" t="s">
        <v>58</v>
      </c>
      <c r="AU121" s="8" t="s">
        <v>58</v>
      </c>
      <c r="AV121" s="8" t="s">
        <v>63</v>
      </c>
      <c r="AW121" s="8" t="s">
        <v>58</v>
      </c>
    </row>
    <row r="122" spans="1:49" ht="16.05" customHeight="1" x14ac:dyDescent="0.3">
      <c r="A122" s="8" t="s">
        <v>421</v>
      </c>
      <c r="B122" s="8" t="s">
        <v>422</v>
      </c>
      <c r="C122" s="9">
        <v>46136.129513888889</v>
      </c>
      <c r="D122" s="10" t="s">
        <v>423</v>
      </c>
      <c r="E122" s="8" t="s">
        <v>339</v>
      </c>
      <c r="F122" s="8">
        <v>17</v>
      </c>
      <c r="G122" s="8" t="s">
        <v>53</v>
      </c>
      <c r="H122" s="8" t="s">
        <v>55</v>
      </c>
      <c r="I122" s="8" t="s">
        <v>55</v>
      </c>
      <c r="J122" s="8" t="s">
        <v>54</v>
      </c>
      <c r="K122" s="8" t="s">
        <v>55</v>
      </c>
      <c r="L122" s="8" t="s">
        <v>55</v>
      </c>
      <c r="M122" s="8" t="s">
        <v>55</v>
      </c>
      <c r="N122" s="8" t="s">
        <v>55</v>
      </c>
      <c r="O122" s="8" t="s">
        <v>53</v>
      </c>
      <c r="P122" s="8" t="s">
        <v>55</v>
      </c>
      <c r="Q122" s="8" t="s">
        <v>54</v>
      </c>
      <c r="R122" s="8" t="s">
        <v>54</v>
      </c>
      <c r="S122" s="8" t="s">
        <v>55</v>
      </c>
      <c r="T122" s="8" t="s">
        <v>55</v>
      </c>
      <c r="U122" s="8" t="s">
        <v>55</v>
      </c>
      <c r="V122" s="8" t="s">
        <v>55</v>
      </c>
      <c r="W122" s="8" t="s">
        <v>53</v>
      </c>
      <c r="X122" s="8" t="s">
        <v>55</v>
      </c>
      <c r="Y122" s="8" t="s">
        <v>54</v>
      </c>
      <c r="Z122" s="8" t="s">
        <v>53</v>
      </c>
      <c r="AA122" s="8" t="s">
        <v>53</v>
      </c>
      <c r="AB122" s="8" t="s">
        <v>55</v>
      </c>
      <c r="AC122" s="8" t="s">
        <v>54</v>
      </c>
      <c r="AD122" s="8" t="s">
        <v>55</v>
      </c>
      <c r="AE122" s="8" t="s">
        <v>55</v>
      </c>
      <c r="AF122" s="8" t="s">
        <v>58</v>
      </c>
      <c r="AG122" s="8" t="s">
        <v>63</v>
      </c>
      <c r="AH122" s="8" t="s">
        <v>63</v>
      </c>
      <c r="AI122" s="8" t="s">
        <v>63</v>
      </c>
      <c r="AJ122" s="8" t="s">
        <v>63</v>
      </c>
      <c r="AK122" s="8" t="s">
        <v>63</v>
      </c>
      <c r="AL122" s="8" t="s">
        <v>63</v>
      </c>
      <c r="AM122" s="8" t="s">
        <v>63</v>
      </c>
      <c r="AN122" s="8" t="s">
        <v>63</v>
      </c>
      <c r="AO122" s="8" t="s">
        <v>63</v>
      </c>
      <c r="AP122" s="8" t="s">
        <v>58</v>
      </c>
      <c r="AQ122" s="8" t="s">
        <v>58</v>
      </c>
      <c r="AR122" s="8" t="s">
        <v>58</v>
      </c>
      <c r="AS122" s="8" t="s">
        <v>58</v>
      </c>
      <c r="AT122" s="8" t="s">
        <v>58</v>
      </c>
      <c r="AU122" s="8" t="s">
        <v>63</v>
      </c>
      <c r="AV122" s="8" t="s">
        <v>63</v>
      </c>
      <c r="AW122" s="8" t="s">
        <v>63</v>
      </c>
    </row>
    <row r="123" spans="1:49" ht="16.05" customHeight="1" x14ac:dyDescent="0.3">
      <c r="A123" s="8" t="s">
        <v>424</v>
      </c>
      <c r="B123" s="8" t="s">
        <v>425</v>
      </c>
      <c r="C123" s="9">
        <v>46136.129791666674</v>
      </c>
      <c r="D123" s="10" t="s">
        <v>426</v>
      </c>
      <c r="E123" s="8" t="s">
        <v>339</v>
      </c>
      <c r="F123" s="8">
        <v>16</v>
      </c>
      <c r="G123" s="8" t="s">
        <v>53</v>
      </c>
      <c r="H123" s="8" t="s">
        <v>53</v>
      </c>
      <c r="I123" s="8" t="s">
        <v>55</v>
      </c>
      <c r="J123" s="8" t="s">
        <v>53</v>
      </c>
      <c r="K123" s="8" t="s">
        <v>54</v>
      </c>
      <c r="L123" s="8" t="s">
        <v>54</v>
      </c>
      <c r="M123" s="8" t="s">
        <v>54</v>
      </c>
      <c r="N123" s="8" t="s">
        <v>54</v>
      </c>
      <c r="O123" s="8" t="s">
        <v>53</v>
      </c>
      <c r="P123" s="8" t="s">
        <v>53</v>
      </c>
      <c r="Q123" s="8" t="s">
        <v>53</v>
      </c>
      <c r="R123" s="8" t="s">
        <v>53</v>
      </c>
      <c r="S123" s="8" t="s">
        <v>54</v>
      </c>
      <c r="T123" s="8" t="s">
        <v>53</v>
      </c>
      <c r="U123" s="8" t="s">
        <v>53</v>
      </c>
      <c r="V123" s="8" t="s">
        <v>54</v>
      </c>
      <c r="W123" s="8" t="s">
        <v>54</v>
      </c>
      <c r="X123" s="8" t="s">
        <v>54</v>
      </c>
      <c r="Y123" s="8" t="s">
        <v>55</v>
      </c>
      <c r="Z123" s="8" t="s">
        <v>53</v>
      </c>
      <c r="AA123" s="8" t="s">
        <v>53</v>
      </c>
      <c r="AB123" s="8" t="s">
        <v>55</v>
      </c>
      <c r="AC123" s="8" t="s">
        <v>54</v>
      </c>
      <c r="AD123" s="8" t="s">
        <v>55</v>
      </c>
      <c r="AE123" s="8" t="s">
        <v>53</v>
      </c>
      <c r="AF123" s="8" t="s">
        <v>63</v>
      </c>
      <c r="AG123" s="8" t="s">
        <v>63</v>
      </c>
      <c r="AH123" s="8" t="s">
        <v>63</v>
      </c>
      <c r="AI123" s="8" t="s">
        <v>63</v>
      </c>
      <c r="AJ123" s="8" t="s">
        <v>63</v>
      </c>
      <c r="AK123" s="8" t="s">
        <v>59</v>
      </c>
      <c r="AL123" s="8" t="s">
        <v>57</v>
      </c>
      <c r="AM123" s="8" t="s">
        <v>57</v>
      </c>
      <c r="AN123" s="8" t="s">
        <v>63</v>
      </c>
      <c r="AO123" s="8" t="s">
        <v>59</v>
      </c>
      <c r="AP123" s="8" t="s">
        <v>59</v>
      </c>
      <c r="AQ123" s="8" t="s">
        <v>57</v>
      </c>
      <c r="AR123" s="8" t="s">
        <v>59</v>
      </c>
      <c r="AS123" s="8" t="s">
        <v>59</v>
      </c>
      <c r="AT123" s="8" t="s">
        <v>59</v>
      </c>
      <c r="AU123" s="8" t="s">
        <v>57</v>
      </c>
      <c r="AV123" s="8" t="s">
        <v>56</v>
      </c>
      <c r="AW123" s="8" t="s">
        <v>56</v>
      </c>
    </row>
    <row r="124" spans="1:49" ht="16.05" customHeight="1" x14ac:dyDescent="0.3">
      <c r="A124" s="8" t="s">
        <v>427</v>
      </c>
      <c r="B124" s="8" t="s">
        <v>428</v>
      </c>
      <c r="C124" s="9">
        <v>46136.131180555552</v>
      </c>
      <c r="D124" s="10" t="s">
        <v>429</v>
      </c>
      <c r="E124" s="8" t="s">
        <v>339</v>
      </c>
      <c r="F124" s="8">
        <v>17</v>
      </c>
      <c r="G124" s="8" t="s">
        <v>53</v>
      </c>
      <c r="H124" s="8" t="s">
        <v>54</v>
      </c>
      <c r="I124" s="8" t="s">
        <v>55</v>
      </c>
      <c r="J124" s="8" t="s">
        <v>53</v>
      </c>
      <c r="K124" s="8" t="s">
        <v>55</v>
      </c>
      <c r="L124" s="8" t="s">
        <v>55</v>
      </c>
      <c r="M124" s="8" t="s">
        <v>54</v>
      </c>
      <c r="N124" s="8" t="s">
        <v>54</v>
      </c>
      <c r="O124" s="8" t="s">
        <v>53</v>
      </c>
      <c r="P124" s="8" t="s">
        <v>55</v>
      </c>
      <c r="Q124" s="8" t="s">
        <v>53</v>
      </c>
      <c r="R124" s="8" t="s">
        <v>55</v>
      </c>
      <c r="S124" s="8" t="s">
        <v>55</v>
      </c>
      <c r="T124" s="8" t="s">
        <v>54</v>
      </c>
      <c r="U124" s="8" t="s">
        <v>55</v>
      </c>
      <c r="V124" s="8" t="s">
        <v>55</v>
      </c>
      <c r="W124" s="8" t="s">
        <v>53</v>
      </c>
      <c r="X124" s="8" t="s">
        <v>55</v>
      </c>
      <c r="Y124" s="8" t="s">
        <v>55</v>
      </c>
      <c r="Z124" s="8" t="s">
        <v>54</v>
      </c>
      <c r="AA124" s="8" t="s">
        <v>53</v>
      </c>
      <c r="AB124" s="8" t="s">
        <v>55</v>
      </c>
      <c r="AC124" s="8" t="s">
        <v>54</v>
      </c>
      <c r="AD124" s="8" t="s">
        <v>55</v>
      </c>
      <c r="AE124" s="8" t="s">
        <v>53</v>
      </c>
      <c r="AF124" s="8" t="s">
        <v>57</v>
      </c>
      <c r="AG124" s="8" t="s">
        <v>58</v>
      </c>
      <c r="AH124" s="8" t="s">
        <v>58</v>
      </c>
      <c r="AI124" s="8" t="s">
        <v>58</v>
      </c>
      <c r="AJ124" s="8" t="s">
        <v>57</v>
      </c>
      <c r="AK124" s="8" t="s">
        <v>58</v>
      </c>
      <c r="AL124" s="8" t="s">
        <v>58</v>
      </c>
      <c r="AM124" s="8" t="s">
        <v>63</v>
      </c>
      <c r="AN124" s="8" t="s">
        <v>58</v>
      </c>
      <c r="AO124" s="8" t="s">
        <v>57</v>
      </c>
      <c r="AP124" s="8" t="s">
        <v>58</v>
      </c>
      <c r="AQ124" s="8" t="s">
        <v>57</v>
      </c>
      <c r="AR124" s="8" t="s">
        <v>58</v>
      </c>
      <c r="AS124" s="8" t="s">
        <v>57</v>
      </c>
      <c r="AT124" s="8" t="s">
        <v>58</v>
      </c>
      <c r="AU124" s="8" t="s">
        <v>58</v>
      </c>
      <c r="AV124" s="8" t="s">
        <v>58</v>
      </c>
      <c r="AW124" s="8" t="s">
        <v>57</v>
      </c>
    </row>
    <row r="125" spans="1:49" ht="16.05" customHeight="1" x14ac:dyDescent="0.3">
      <c r="A125" s="8" t="s">
        <v>430</v>
      </c>
      <c r="B125" s="8" t="s">
        <v>431</v>
      </c>
      <c r="C125" s="9">
        <v>46136.131828703707</v>
      </c>
      <c r="D125" s="10" t="s">
        <v>432</v>
      </c>
      <c r="E125" s="8" t="s">
        <v>339</v>
      </c>
      <c r="F125" s="8">
        <v>17</v>
      </c>
      <c r="G125" s="8" t="s">
        <v>53</v>
      </c>
      <c r="H125" s="8" t="s">
        <v>53</v>
      </c>
      <c r="I125" s="8" t="s">
        <v>55</v>
      </c>
      <c r="J125" s="8" t="s">
        <v>53</v>
      </c>
      <c r="K125" s="8" t="s">
        <v>55</v>
      </c>
      <c r="L125" s="8" t="s">
        <v>55</v>
      </c>
      <c r="M125" s="8" t="s">
        <v>54</v>
      </c>
      <c r="N125" s="8" t="s">
        <v>54</v>
      </c>
      <c r="O125" s="8" t="s">
        <v>53</v>
      </c>
      <c r="P125" s="8" t="s">
        <v>53</v>
      </c>
      <c r="Q125" s="8" t="s">
        <v>53</v>
      </c>
      <c r="R125" s="8" t="s">
        <v>55</v>
      </c>
      <c r="S125" s="8" t="s">
        <v>55</v>
      </c>
      <c r="T125" s="8" t="s">
        <v>55</v>
      </c>
      <c r="U125" s="8" t="s">
        <v>53</v>
      </c>
      <c r="V125" s="8" t="s">
        <v>53</v>
      </c>
      <c r="W125" s="8" t="s">
        <v>53</v>
      </c>
      <c r="X125" s="8" t="s">
        <v>55</v>
      </c>
      <c r="Y125" s="8" t="s">
        <v>55</v>
      </c>
      <c r="Z125" s="8" t="s">
        <v>53</v>
      </c>
      <c r="AA125" s="8" t="s">
        <v>53</v>
      </c>
      <c r="AB125" s="8" t="s">
        <v>55</v>
      </c>
      <c r="AC125" s="8" t="s">
        <v>53</v>
      </c>
      <c r="AD125" s="8" t="s">
        <v>53</v>
      </c>
      <c r="AE125" s="8" t="s">
        <v>53</v>
      </c>
      <c r="AF125" s="8" t="s">
        <v>56</v>
      </c>
      <c r="AG125" s="8" t="s">
        <v>57</v>
      </c>
      <c r="AH125" s="8" t="s">
        <v>59</v>
      </c>
      <c r="AI125" s="8" t="s">
        <v>57</v>
      </c>
      <c r="AJ125" s="8" t="s">
        <v>63</v>
      </c>
      <c r="AK125" s="8" t="s">
        <v>57</v>
      </c>
      <c r="AL125" s="8" t="s">
        <v>57</v>
      </c>
      <c r="AM125" s="8" t="s">
        <v>57</v>
      </c>
      <c r="AN125" s="8" t="s">
        <v>57</v>
      </c>
      <c r="AO125" s="8" t="s">
        <v>56</v>
      </c>
      <c r="AP125" s="8" t="s">
        <v>57</v>
      </c>
      <c r="AQ125" s="8" t="s">
        <v>57</v>
      </c>
      <c r="AR125" s="8" t="s">
        <v>57</v>
      </c>
      <c r="AS125" s="8" t="s">
        <v>57</v>
      </c>
      <c r="AT125" s="8" t="s">
        <v>56</v>
      </c>
      <c r="AU125" s="8" t="s">
        <v>56</v>
      </c>
      <c r="AV125" s="8" t="s">
        <v>63</v>
      </c>
      <c r="AW125" s="8" t="s">
        <v>57</v>
      </c>
    </row>
    <row r="126" spans="1:49" ht="16.05" customHeight="1" x14ac:dyDescent="0.3">
      <c r="A126" s="8" t="s">
        <v>433</v>
      </c>
      <c r="B126" s="8" t="s">
        <v>434</v>
      </c>
      <c r="C126" s="9">
        <v>46136.133391203701</v>
      </c>
      <c r="D126" s="10" t="s">
        <v>435</v>
      </c>
      <c r="E126" s="8" t="s">
        <v>339</v>
      </c>
      <c r="F126" s="8">
        <v>17</v>
      </c>
      <c r="G126" s="8" t="s">
        <v>53</v>
      </c>
      <c r="H126" s="8" t="s">
        <v>53</v>
      </c>
      <c r="I126" s="8" t="s">
        <v>55</v>
      </c>
      <c r="J126" s="8" t="s">
        <v>53</v>
      </c>
      <c r="K126" s="8" t="s">
        <v>54</v>
      </c>
      <c r="L126" s="8" t="s">
        <v>55</v>
      </c>
      <c r="M126" s="8" t="s">
        <v>55</v>
      </c>
      <c r="N126" s="8" t="s">
        <v>54</v>
      </c>
      <c r="O126" s="8" t="s">
        <v>53</v>
      </c>
      <c r="P126" s="8" t="s">
        <v>55</v>
      </c>
      <c r="Q126" s="8" t="s">
        <v>53</v>
      </c>
      <c r="R126" s="8" t="s">
        <v>54</v>
      </c>
      <c r="S126" s="8" t="s">
        <v>54</v>
      </c>
      <c r="T126" s="8" t="s">
        <v>54</v>
      </c>
      <c r="U126" s="8" t="s">
        <v>54</v>
      </c>
      <c r="V126" s="8" t="s">
        <v>54</v>
      </c>
      <c r="W126" s="8" t="s">
        <v>53</v>
      </c>
      <c r="X126" s="8" t="s">
        <v>55</v>
      </c>
      <c r="Y126" s="8" t="s">
        <v>55</v>
      </c>
      <c r="Z126" s="8" t="s">
        <v>54</v>
      </c>
      <c r="AA126" s="8" t="s">
        <v>53</v>
      </c>
      <c r="AB126" s="8" t="s">
        <v>55</v>
      </c>
      <c r="AC126" s="8" t="s">
        <v>54</v>
      </c>
      <c r="AD126" s="8" t="s">
        <v>55</v>
      </c>
      <c r="AE126" s="8" t="s">
        <v>53</v>
      </c>
      <c r="AF126" s="8" t="s">
        <v>57</v>
      </c>
      <c r="AG126" s="8" t="s">
        <v>63</v>
      </c>
      <c r="AH126" s="8" t="s">
        <v>63</v>
      </c>
      <c r="AI126" s="8" t="s">
        <v>63</v>
      </c>
      <c r="AJ126" s="8" t="s">
        <v>63</v>
      </c>
      <c r="AK126" s="8" t="s">
        <v>58</v>
      </c>
      <c r="AL126" s="8" t="s">
        <v>58</v>
      </c>
      <c r="AM126" s="8" t="s">
        <v>57</v>
      </c>
      <c r="AN126" s="8" t="s">
        <v>57</v>
      </c>
      <c r="AO126" s="8" t="s">
        <v>58</v>
      </c>
      <c r="AP126" s="8" t="s">
        <v>58</v>
      </c>
      <c r="AQ126" s="8" t="s">
        <v>58</v>
      </c>
      <c r="AR126" s="8" t="s">
        <v>57</v>
      </c>
      <c r="AS126" s="8" t="s">
        <v>58</v>
      </c>
      <c r="AT126" s="8" t="s">
        <v>57</v>
      </c>
      <c r="AU126" s="8" t="s">
        <v>63</v>
      </c>
      <c r="AV126" s="8" t="s">
        <v>58</v>
      </c>
      <c r="AW126" s="8" t="s">
        <v>58</v>
      </c>
    </row>
    <row r="127" spans="1:49" ht="16.05" customHeight="1" x14ac:dyDescent="0.3">
      <c r="A127" s="8" t="s">
        <v>436</v>
      </c>
      <c r="B127" s="8" t="s">
        <v>437</v>
      </c>
      <c r="C127" s="9">
        <v>46136.155532407407</v>
      </c>
      <c r="D127" s="10" t="s">
        <v>438</v>
      </c>
      <c r="E127" s="8" t="s">
        <v>121</v>
      </c>
      <c r="F127" s="8">
        <v>16</v>
      </c>
      <c r="G127" s="8" t="s">
        <v>53</v>
      </c>
      <c r="H127" s="8" t="s">
        <v>55</v>
      </c>
      <c r="I127" s="8" t="s">
        <v>54</v>
      </c>
      <c r="J127" s="8" t="s">
        <v>54</v>
      </c>
      <c r="K127" s="8" t="s">
        <v>54</v>
      </c>
      <c r="L127" s="8" t="s">
        <v>55</v>
      </c>
      <c r="M127" s="8" t="s">
        <v>54</v>
      </c>
      <c r="N127" s="8" t="s">
        <v>54</v>
      </c>
      <c r="O127" s="8" t="s">
        <v>53</v>
      </c>
      <c r="P127" s="8" t="s">
        <v>54</v>
      </c>
      <c r="Q127" s="8" t="s">
        <v>53</v>
      </c>
      <c r="R127" s="8" t="s">
        <v>55</v>
      </c>
      <c r="S127" s="8" t="s">
        <v>54</v>
      </c>
      <c r="T127" s="8" t="s">
        <v>54</v>
      </c>
      <c r="U127" s="8" t="s">
        <v>55</v>
      </c>
      <c r="V127" s="8" t="s">
        <v>54</v>
      </c>
      <c r="W127" s="8" t="s">
        <v>53</v>
      </c>
      <c r="X127" s="8" t="s">
        <v>55</v>
      </c>
      <c r="Y127" s="8" t="s">
        <v>55</v>
      </c>
      <c r="Z127" s="8" t="s">
        <v>53</v>
      </c>
      <c r="AA127" s="8" t="s">
        <v>53</v>
      </c>
      <c r="AB127" s="8" t="s">
        <v>55</v>
      </c>
      <c r="AC127" s="8" t="s">
        <v>54</v>
      </c>
      <c r="AD127" s="8" t="s">
        <v>53</v>
      </c>
      <c r="AE127" s="8" t="s">
        <v>53</v>
      </c>
      <c r="AF127" s="8" t="s">
        <v>56</v>
      </c>
      <c r="AG127" s="8" t="s">
        <v>57</v>
      </c>
      <c r="AH127" s="8" t="s">
        <v>56</v>
      </c>
      <c r="AI127" s="8" t="s">
        <v>58</v>
      </c>
      <c r="AJ127" s="8" t="s">
        <v>57</v>
      </c>
      <c r="AK127" s="8" t="s">
        <v>58</v>
      </c>
      <c r="AL127" s="8" t="s">
        <v>56</v>
      </c>
      <c r="AM127" s="8" t="s">
        <v>56</v>
      </c>
      <c r="AN127" s="8" t="s">
        <v>63</v>
      </c>
      <c r="AO127" s="8" t="s">
        <v>57</v>
      </c>
      <c r="AP127" s="8" t="s">
        <v>58</v>
      </c>
      <c r="AQ127" s="8" t="s">
        <v>57</v>
      </c>
      <c r="AR127" s="8" t="s">
        <v>56</v>
      </c>
      <c r="AS127" s="8" t="s">
        <v>58</v>
      </c>
      <c r="AT127" s="8" t="s">
        <v>63</v>
      </c>
      <c r="AU127" s="8" t="s">
        <v>57</v>
      </c>
      <c r="AV127" s="8" t="s">
        <v>58</v>
      </c>
      <c r="AW127" s="8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27"/>
  <sheetViews>
    <sheetView showGridLines="0" tabSelected="1" workbookViewId="0">
      <pane xSplit="6" ySplit="1" topLeftCell="AJ2" activePane="bottomRight" state="frozen"/>
      <selection pane="topRight"/>
      <selection pane="bottomLeft"/>
      <selection pane="bottomRight" activeCell="AP2" sqref="AP2:AQ127"/>
    </sheetView>
  </sheetViews>
  <sheetFormatPr defaultRowHeight="14.4" x14ac:dyDescent="0.3"/>
  <cols>
    <col min="1" max="2" width="14" style="41" customWidth="1"/>
    <col min="3" max="3" width="18" style="41" customWidth="1"/>
    <col min="4" max="4" width="20" style="41" customWidth="1"/>
    <col min="5" max="5" width="10" style="41" customWidth="1"/>
    <col min="6" max="6" width="15" style="41" customWidth="1"/>
    <col min="7" max="31" width="9" style="41" customWidth="1"/>
    <col min="32" max="36" width="13" style="41" customWidth="1"/>
    <col min="37" max="41" width="14" style="41" customWidth="1"/>
    <col min="42" max="42" width="11" style="41" customWidth="1"/>
    <col min="43" max="43" width="14" style="41" customWidth="1"/>
  </cols>
  <sheetData>
    <row r="1" spans="1:43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439</v>
      </c>
      <c r="H1" s="12" t="s">
        <v>440</v>
      </c>
      <c r="I1" s="13" t="s">
        <v>441</v>
      </c>
      <c r="J1" s="11" t="s">
        <v>442</v>
      </c>
      <c r="K1" s="14" t="s">
        <v>443</v>
      </c>
      <c r="L1" s="15" t="s">
        <v>444</v>
      </c>
      <c r="M1" s="14" t="s">
        <v>445</v>
      </c>
      <c r="N1" s="13" t="s">
        <v>446</v>
      </c>
      <c r="O1" s="11" t="s">
        <v>447</v>
      </c>
      <c r="P1" s="12" t="s">
        <v>448</v>
      </c>
      <c r="Q1" s="15" t="s">
        <v>449</v>
      </c>
      <c r="R1" s="14" t="s">
        <v>450</v>
      </c>
      <c r="S1" s="13" t="s">
        <v>451</v>
      </c>
      <c r="T1" s="15" t="s">
        <v>452</v>
      </c>
      <c r="U1" s="12" t="s">
        <v>453</v>
      </c>
      <c r="V1" s="13" t="s">
        <v>454</v>
      </c>
      <c r="W1" s="11" t="s">
        <v>455</v>
      </c>
      <c r="X1" s="14" t="s">
        <v>456</v>
      </c>
      <c r="Y1" s="15" t="s">
        <v>457</v>
      </c>
      <c r="Z1" s="11" t="s">
        <v>458</v>
      </c>
      <c r="AA1" s="12" t="s">
        <v>459</v>
      </c>
      <c r="AB1" s="14" t="s">
        <v>460</v>
      </c>
      <c r="AC1" s="15" t="s">
        <v>461</v>
      </c>
      <c r="AD1" s="13" t="s">
        <v>462</v>
      </c>
      <c r="AE1" s="12" t="s">
        <v>463</v>
      </c>
      <c r="AF1" s="13" t="s">
        <v>464</v>
      </c>
      <c r="AG1" s="14" t="s">
        <v>465</v>
      </c>
      <c r="AH1" s="12" t="s">
        <v>466</v>
      </c>
      <c r="AI1" s="15" t="s">
        <v>467</v>
      </c>
      <c r="AJ1" s="11" t="s">
        <v>468</v>
      </c>
      <c r="AK1" s="16" t="s">
        <v>469</v>
      </c>
      <c r="AL1" s="16" t="s">
        <v>470</v>
      </c>
      <c r="AM1" s="16" t="s">
        <v>471</v>
      </c>
      <c r="AN1" s="16" t="s">
        <v>472</v>
      </c>
      <c r="AO1" s="16" t="s">
        <v>473</v>
      </c>
      <c r="AP1" s="17" t="s">
        <v>548</v>
      </c>
      <c r="AQ1" s="18" t="s">
        <v>549</v>
      </c>
    </row>
    <row r="2" spans="1:43" x14ac:dyDescent="0.3">
      <c r="A2" s="19" t="str">
        <f>Responses!A2</f>
        <v>rDaeWjv</v>
      </c>
      <c r="B2" s="19" t="str">
        <f>Responses!B2</f>
        <v>GxoM0Oz</v>
      </c>
      <c r="C2" s="19">
        <f>Responses!C2</f>
        <v>46136.090752314813</v>
      </c>
      <c r="D2" s="19" t="str">
        <f>Responses!D2</f>
        <v>Farasafa Alzeta</v>
      </c>
      <c r="E2" s="19" t="str">
        <f>Responses!E2</f>
        <v>XI-1</v>
      </c>
      <c r="F2" s="19">
        <f>Responses!F2</f>
        <v>17</v>
      </c>
      <c r="G2" s="8">
        <f>IF(Responses!G2="","",IF(Responses!G2="Benar",2,IF(Responses!G2="Agak Benar",1,0)))</f>
        <v>2</v>
      </c>
      <c r="H2" s="8">
        <f>IF(Responses!H2="","",IF(Responses!H2="Benar",2,IF(Responses!H2="Agak Benar",1,0)))</f>
        <v>2</v>
      </c>
      <c r="I2" s="8">
        <f>IF(Responses!I2="","",IF(Responses!I2="Benar",2,IF(Responses!I2="Agak Benar",1,0)))</f>
        <v>2</v>
      </c>
      <c r="J2" s="8">
        <f>IF(Responses!J2="","",IF(Responses!J2="Benar",2,IF(Responses!J2="Agak Benar",1,0)))</f>
        <v>2</v>
      </c>
      <c r="K2" s="8">
        <f>IF(Responses!K2="","",IF(Responses!K2="Benar",2,IF(Responses!K2="Agak Benar",1,0)))</f>
        <v>1</v>
      </c>
      <c r="L2" s="8">
        <f>IF(Responses!L2="","",IF(Responses!L2="Benar",2,IF(Responses!L2="Agak Benar",1,0)))</f>
        <v>1</v>
      </c>
      <c r="M2" s="8">
        <f>IF(Responses!M2="","",IF(Responses!M2="Tidak Benar",2,IF(Responses!M2="Agak Benar",1,0)))</f>
        <v>1</v>
      </c>
      <c r="N2" s="8">
        <f>IF(Responses!N2="","",IF(Responses!N2="Benar",2,IF(Responses!N2="Agak Benar",1,0)))</f>
        <v>2</v>
      </c>
      <c r="O2" s="8">
        <f>IF(Responses!O2="","",IF(Responses!O2="Benar",2,IF(Responses!O2="Agak Benar",1,0)))</f>
        <v>1</v>
      </c>
      <c r="P2" s="8">
        <f>IF(Responses!P2="","",IF(Responses!P2="Benar",2,IF(Responses!P2="Agak Benar",1,0)))</f>
        <v>2</v>
      </c>
      <c r="Q2" s="8">
        <f>IF(Responses!Q2="","",IF(Responses!Q2="Tidak Benar",2,IF(Responses!Q2="Agak Benar",1,0)))</f>
        <v>0</v>
      </c>
      <c r="R2" s="8">
        <f>IF(Responses!R2="","",IF(Responses!R2="Benar",2,IF(Responses!R2="Agak Benar",1,0)))</f>
        <v>1</v>
      </c>
      <c r="S2" s="8">
        <f>IF(Responses!S2="","",IF(Responses!S2="Benar",2,IF(Responses!S2="Agak Benar",1,0)))</f>
        <v>2</v>
      </c>
      <c r="T2" s="8">
        <f>IF(Responses!T2="","",IF(Responses!T2="Tidak Benar",2,IF(Responses!T2="Agak Benar",1,0)))</f>
        <v>1</v>
      </c>
      <c r="U2" s="8">
        <f>IF(Responses!U2="","",IF(Responses!U2="Benar",2,IF(Responses!U2="Agak Benar",1,0)))</f>
        <v>1</v>
      </c>
      <c r="V2" s="8">
        <f>IF(Responses!V2="","",IF(Responses!V2="Benar",2,IF(Responses!V2="Agak Benar",1,0)))</f>
        <v>1</v>
      </c>
      <c r="W2" s="8">
        <f>IF(Responses!W2="","",IF(Responses!W2="Benar",2,IF(Responses!W2="Agak Benar",1,0)))</f>
        <v>1</v>
      </c>
      <c r="X2" s="8">
        <f>IF(Responses!X2="","",IF(Responses!X2="Benar",2,IF(Responses!X2="Agak Benar",1,0)))</f>
        <v>1</v>
      </c>
      <c r="Y2" s="8">
        <f>IF(Responses!Y2="","",IF(Responses!Y2="Benar",2,IF(Responses!Y2="Agak Benar",1,0)))</f>
        <v>0</v>
      </c>
      <c r="Z2" s="8">
        <f>IF(Responses!Z2="","",IF(Responses!Z2="Benar",2,IF(Responses!Z2="Agak Benar",1,0)))</f>
        <v>1</v>
      </c>
      <c r="AA2" s="8">
        <f>IF(Responses!AA2="","",IF(Responses!AA2="Tidak Benar",2,IF(Responses!AA2="Agak Benar",1,0)))</f>
        <v>0</v>
      </c>
      <c r="AB2" s="8">
        <f>IF(Responses!AB2="","",IF(Responses!AB2="Benar",2,IF(Responses!AB2="Agak Benar",1,0)))</f>
        <v>0</v>
      </c>
      <c r="AC2" s="8">
        <f>IF(Responses!AC2="","",IF(Responses!AC2="Benar",2,IF(Responses!AC2="Agak Benar",1,0)))</f>
        <v>1</v>
      </c>
      <c r="AD2" s="8">
        <f>IF(Responses!AD2="","",IF(Responses!AD2="Benar",2,IF(Responses!AD2="Agak Benar",1,0)))</f>
        <v>2</v>
      </c>
      <c r="AE2" s="8">
        <f>IF(Responses!AE2="","",IF(Responses!AE2="Tidak Benar",2,IF(Responses!AE2="Agak Benar",1,0)))</f>
        <v>0</v>
      </c>
      <c r="AF2" s="20">
        <f t="shared" ref="AF2:AF33" si="0">IF(A2="","",I2+N2+S2+V2+AD2)</f>
        <v>9</v>
      </c>
      <c r="AG2" s="20">
        <f t="shared" ref="AG2:AG33" si="1">IF(A2="","",K2+M2+R2+X2+AB2)</f>
        <v>4</v>
      </c>
      <c r="AH2" s="20">
        <f t="shared" ref="AH2:AH33" si="2">IF(A2="","",H2+P2+U2+AA2+AE2)</f>
        <v>5</v>
      </c>
      <c r="AI2" s="20">
        <f t="shared" ref="AI2:AI33" si="3">IF(A2="","",L2+Q2+T2+Y2+AC2)</f>
        <v>3</v>
      </c>
      <c r="AJ2" s="20">
        <f t="shared" ref="AJ2:AJ33" si="4">IF(A2="","",G2+J2+O2+W2+Z2)</f>
        <v>7</v>
      </c>
      <c r="AK2" s="20" t="str">
        <f t="shared" ref="AK2:AK33" si="5">IF(AF2="","",IF(AF2&lt;=5,"Normal",IF(AF2=6,"Borderline","Abnormal")))</f>
        <v>Abnormal</v>
      </c>
      <c r="AL2" s="20" t="str">
        <f t="shared" ref="AL2:AL33" si="6">IF(AG2="","",IF(AG2&lt;=3,"Normal",IF(AG2=4,"Borderline","Abnormal")))</f>
        <v>Borderline</v>
      </c>
      <c r="AM2" s="20" t="str">
        <f t="shared" ref="AM2:AM33" si="7">IF(AH2="","",IF(AH2&lt;=5,"Normal",IF(AH2=6,"Borderline","Abnormal")))</f>
        <v>Normal</v>
      </c>
      <c r="AN2" s="20" t="str">
        <f t="shared" ref="AN2:AN33" si="8">IF(AI2="","",IF(AI2&lt;=3,"Normal",IF(AI2&lt;=5,"Borderline","Abnormal")))</f>
        <v>Normal</v>
      </c>
      <c r="AO2" s="20" t="str">
        <f t="shared" ref="AO2:AO33" si="9">IF(AJ2="","",IF(AJ2&gt;=6,"Normal",IF(AJ2=5,"Borderline","Abnormal")))</f>
        <v>Normal</v>
      </c>
      <c r="AP2" s="20">
        <f>IF(A2="","",AF2+AG2+AH2+AI2)</f>
        <v>21</v>
      </c>
      <c r="AQ2" s="20" t="str">
        <f>IF(A2="","",IF(AP2&lt;=15,"Normal",IF(AP2&lt;=19,"Borderline","Abnormal")))</f>
        <v>Abnormal</v>
      </c>
    </row>
    <row r="3" spans="1:43" x14ac:dyDescent="0.3">
      <c r="A3" s="19" t="str">
        <f>Responses!A3</f>
        <v>gbdE1PN</v>
      </c>
      <c r="B3" s="19" t="str">
        <f>Responses!B3</f>
        <v>XxRjYOd</v>
      </c>
      <c r="C3" s="19">
        <f>Responses!C3</f>
        <v>46136.091111111113</v>
      </c>
      <c r="D3" s="19" t="str">
        <f>Responses!D3</f>
        <v>Habibah Putri Kawiswara</v>
      </c>
      <c r="E3" s="19" t="str">
        <f>Responses!E3</f>
        <v>XI-1</v>
      </c>
      <c r="F3" s="19">
        <f>Responses!F3</f>
        <v>11</v>
      </c>
      <c r="G3" s="8">
        <f>IF(Responses!G3="","",IF(Responses!G3="Benar",2,IF(Responses!G3="Agak Benar",1,0)))</f>
        <v>2</v>
      </c>
      <c r="H3" s="8">
        <f>IF(Responses!H3="","",IF(Responses!H3="Benar",2,IF(Responses!H3="Agak Benar",1,0)))</f>
        <v>1</v>
      </c>
      <c r="I3" s="8">
        <f>IF(Responses!I3="","",IF(Responses!I3="Benar",2,IF(Responses!I3="Agak Benar",1,0)))</f>
        <v>2</v>
      </c>
      <c r="J3" s="8">
        <f>IF(Responses!J3="","",IF(Responses!J3="Benar",2,IF(Responses!J3="Agak Benar",1,0)))</f>
        <v>1</v>
      </c>
      <c r="K3" s="8">
        <f>IF(Responses!K3="","",IF(Responses!K3="Benar",2,IF(Responses!K3="Agak Benar",1,0)))</f>
        <v>1</v>
      </c>
      <c r="L3" s="8">
        <f>IF(Responses!L3="","",IF(Responses!L3="Benar",2,IF(Responses!L3="Agak Benar",1,0)))</f>
        <v>2</v>
      </c>
      <c r="M3" s="8">
        <f>IF(Responses!M3="","",IF(Responses!M3="Tidak Benar",2,IF(Responses!M3="Agak Benar",1,0)))</f>
        <v>0</v>
      </c>
      <c r="N3" s="8">
        <f>IF(Responses!N3="","",IF(Responses!N3="Benar",2,IF(Responses!N3="Agak Benar",1,0)))</f>
        <v>1</v>
      </c>
      <c r="O3" s="8">
        <f>IF(Responses!O3="","",IF(Responses!O3="Benar",2,IF(Responses!O3="Agak Benar",1,0)))</f>
        <v>1</v>
      </c>
      <c r="P3" s="8">
        <f>IF(Responses!P3="","",IF(Responses!P3="Benar",2,IF(Responses!P3="Agak Benar",1,0)))</f>
        <v>2</v>
      </c>
      <c r="Q3" s="8">
        <f>IF(Responses!Q3="","",IF(Responses!Q3="Tidak Benar",2,IF(Responses!Q3="Agak Benar",1,0)))</f>
        <v>0</v>
      </c>
      <c r="R3" s="8">
        <f>IF(Responses!R3="","",IF(Responses!R3="Benar",2,IF(Responses!R3="Agak Benar",1,0)))</f>
        <v>0</v>
      </c>
      <c r="S3" s="8">
        <f>IF(Responses!S3="","",IF(Responses!S3="Benar",2,IF(Responses!S3="Agak Benar",1,0)))</f>
        <v>1</v>
      </c>
      <c r="T3" s="8">
        <f>IF(Responses!T3="","",IF(Responses!T3="Tidak Benar",2,IF(Responses!T3="Agak Benar",1,0)))</f>
        <v>2</v>
      </c>
      <c r="U3" s="8">
        <f>IF(Responses!U3="","",IF(Responses!U3="Benar",2,IF(Responses!U3="Agak Benar",1,0)))</f>
        <v>1</v>
      </c>
      <c r="V3" s="8">
        <f>IF(Responses!V3="","",IF(Responses!V3="Benar",2,IF(Responses!V3="Agak Benar",1,0)))</f>
        <v>2</v>
      </c>
      <c r="W3" s="8">
        <f>IF(Responses!W3="","",IF(Responses!W3="Benar",2,IF(Responses!W3="Agak Benar",1,0)))</f>
        <v>2</v>
      </c>
      <c r="X3" s="8">
        <f>IF(Responses!X3="","",IF(Responses!X3="Benar",2,IF(Responses!X3="Agak Benar",1,0)))</f>
        <v>0</v>
      </c>
      <c r="Y3" s="8">
        <f>IF(Responses!Y3="","",IF(Responses!Y3="Benar",2,IF(Responses!Y3="Agak Benar",1,0)))</f>
        <v>0</v>
      </c>
      <c r="Z3" s="8">
        <f>IF(Responses!Z3="","",IF(Responses!Z3="Benar",2,IF(Responses!Z3="Agak Benar",1,0)))</f>
        <v>2</v>
      </c>
      <c r="AA3" s="8">
        <f>IF(Responses!AA3="","",IF(Responses!AA3="Tidak Benar",2,IF(Responses!AA3="Agak Benar",1,0)))</f>
        <v>1</v>
      </c>
      <c r="AB3" s="8">
        <f>IF(Responses!AB3="","",IF(Responses!AB3="Benar",2,IF(Responses!AB3="Agak Benar",1,0)))</f>
        <v>0</v>
      </c>
      <c r="AC3" s="8">
        <f>IF(Responses!AC3="","",IF(Responses!AC3="Benar",2,IF(Responses!AC3="Agak Benar",1,0)))</f>
        <v>0</v>
      </c>
      <c r="AD3" s="8">
        <f>IF(Responses!AD3="","",IF(Responses!AD3="Benar",2,IF(Responses!AD3="Agak Benar",1,0)))</f>
        <v>1</v>
      </c>
      <c r="AE3" s="8">
        <f>IF(Responses!AE3="","",IF(Responses!AE3="Tidak Benar",2,IF(Responses!AE3="Agak Benar",1,0)))</f>
        <v>2</v>
      </c>
      <c r="AF3" s="20">
        <f t="shared" si="0"/>
        <v>7</v>
      </c>
      <c r="AG3" s="20">
        <f t="shared" si="1"/>
        <v>1</v>
      </c>
      <c r="AH3" s="20">
        <f t="shared" si="2"/>
        <v>7</v>
      </c>
      <c r="AI3" s="20">
        <f t="shared" si="3"/>
        <v>4</v>
      </c>
      <c r="AJ3" s="20">
        <f t="shared" si="4"/>
        <v>8</v>
      </c>
      <c r="AK3" s="20" t="str">
        <f t="shared" si="5"/>
        <v>Abnormal</v>
      </c>
      <c r="AL3" s="20" t="str">
        <f t="shared" si="6"/>
        <v>Normal</v>
      </c>
      <c r="AM3" s="20" t="str">
        <f t="shared" si="7"/>
        <v>Abnormal</v>
      </c>
      <c r="AN3" s="20" t="str">
        <f t="shared" si="8"/>
        <v>Borderline</v>
      </c>
      <c r="AO3" s="20" t="str">
        <f t="shared" si="9"/>
        <v>Normal</v>
      </c>
      <c r="AP3" s="20">
        <f t="shared" ref="AP3:AP6" si="10">IF(A3="","",AF3+AG3+AH3+AI3)</f>
        <v>19</v>
      </c>
      <c r="AQ3" s="20" t="str">
        <f t="shared" ref="AQ3:AQ6" si="11">IF(A3="","",IF(AP3&lt;=15,"Normal",IF(AP3&lt;=19,"Borderline","Abnormal")))</f>
        <v>Borderline</v>
      </c>
    </row>
    <row r="4" spans="1:43" x14ac:dyDescent="0.3">
      <c r="A4" s="19" t="str">
        <f>Responses!A4</f>
        <v>M1NW2Ol</v>
      </c>
      <c r="B4" s="19" t="str">
        <f>Responses!B4</f>
        <v>VL9r1r6</v>
      </c>
      <c r="C4" s="19">
        <f>Responses!C4</f>
        <v>46136.091643518521</v>
      </c>
      <c r="D4" s="19" t="str">
        <f>Responses!D4</f>
        <v>Julian</v>
      </c>
      <c r="E4" s="19" t="str">
        <f>Responses!E4</f>
        <v>XI-1</v>
      </c>
      <c r="F4" s="19">
        <f>Responses!F4</f>
        <v>16</v>
      </c>
      <c r="G4" s="8">
        <f>IF(Responses!G4="","",IF(Responses!G4="Benar",2,IF(Responses!G4="Agak Benar",1,0)))</f>
        <v>2</v>
      </c>
      <c r="H4" s="8">
        <f>IF(Responses!H4="","",IF(Responses!H4="Benar",2,IF(Responses!H4="Agak Benar",1,0)))</f>
        <v>2</v>
      </c>
      <c r="I4" s="8">
        <f>IF(Responses!I4="","",IF(Responses!I4="Benar",2,IF(Responses!I4="Agak Benar",1,0)))</f>
        <v>0</v>
      </c>
      <c r="J4" s="8">
        <f>IF(Responses!J4="","",IF(Responses!J4="Benar",2,IF(Responses!J4="Agak Benar",1,0)))</f>
        <v>1</v>
      </c>
      <c r="K4" s="8">
        <f>IF(Responses!K4="","",IF(Responses!K4="Benar",2,IF(Responses!K4="Agak Benar",1,0)))</f>
        <v>0</v>
      </c>
      <c r="L4" s="8">
        <f>IF(Responses!L4="","",IF(Responses!L4="Benar",2,IF(Responses!L4="Agak Benar",1,0)))</f>
        <v>2</v>
      </c>
      <c r="M4" s="8">
        <f>IF(Responses!M4="","",IF(Responses!M4="Tidak Benar",2,IF(Responses!M4="Agak Benar",1,0)))</f>
        <v>2</v>
      </c>
      <c r="N4" s="8">
        <f>IF(Responses!N4="","",IF(Responses!N4="Benar",2,IF(Responses!N4="Agak Benar",1,0)))</f>
        <v>0</v>
      </c>
      <c r="O4" s="8">
        <f>IF(Responses!O4="","",IF(Responses!O4="Benar",2,IF(Responses!O4="Agak Benar",1,0)))</f>
        <v>2</v>
      </c>
      <c r="P4" s="8">
        <f>IF(Responses!P4="","",IF(Responses!P4="Benar",2,IF(Responses!P4="Agak Benar",1,0)))</f>
        <v>0</v>
      </c>
      <c r="Q4" s="8">
        <f>IF(Responses!Q4="","",IF(Responses!Q4="Tidak Benar",2,IF(Responses!Q4="Agak Benar",1,0)))</f>
        <v>0</v>
      </c>
      <c r="R4" s="8">
        <f>IF(Responses!R4="","",IF(Responses!R4="Benar",2,IF(Responses!R4="Agak Benar",1,0)))</f>
        <v>0</v>
      </c>
      <c r="S4" s="8">
        <f>IF(Responses!S4="","",IF(Responses!S4="Benar",2,IF(Responses!S4="Agak Benar",1,0)))</f>
        <v>0</v>
      </c>
      <c r="T4" s="8">
        <f>IF(Responses!T4="","",IF(Responses!T4="Tidak Benar",2,IF(Responses!T4="Agak Benar",1,0)))</f>
        <v>1</v>
      </c>
      <c r="U4" s="8">
        <f>IF(Responses!U4="","",IF(Responses!U4="Benar",2,IF(Responses!U4="Agak Benar",1,0)))</f>
        <v>0</v>
      </c>
      <c r="V4" s="8">
        <f>IF(Responses!V4="","",IF(Responses!V4="Benar",2,IF(Responses!V4="Agak Benar",1,0)))</f>
        <v>0</v>
      </c>
      <c r="W4" s="8">
        <f>IF(Responses!W4="","",IF(Responses!W4="Benar",2,IF(Responses!W4="Agak Benar",1,0)))</f>
        <v>2</v>
      </c>
      <c r="X4" s="8">
        <f>IF(Responses!X4="","",IF(Responses!X4="Benar",2,IF(Responses!X4="Agak Benar",1,0)))</f>
        <v>0</v>
      </c>
      <c r="Y4" s="8">
        <f>IF(Responses!Y4="","",IF(Responses!Y4="Benar",2,IF(Responses!Y4="Agak Benar",1,0)))</f>
        <v>0</v>
      </c>
      <c r="Z4" s="8">
        <f>IF(Responses!Z4="","",IF(Responses!Z4="Benar",2,IF(Responses!Z4="Agak Benar",1,0)))</f>
        <v>1</v>
      </c>
      <c r="AA4" s="8">
        <f>IF(Responses!AA4="","",IF(Responses!AA4="Tidak Benar",2,IF(Responses!AA4="Agak Benar",1,0)))</f>
        <v>0</v>
      </c>
      <c r="AB4" s="8">
        <f>IF(Responses!AB4="","",IF(Responses!AB4="Benar",2,IF(Responses!AB4="Agak Benar",1,0)))</f>
        <v>0</v>
      </c>
      <c r="AC4" s="8">
        <f>IF(Responses!AC4="","",IF(Responses!AC4="Benar",2,IF(Responses!AC4="Agak Benar",1,0)))</f>
        <v>0</v>
      </c>
      <c r="AD4" s="8">
        <f>IF(Responses!AD4="","",IF(Responses!AD4="Benar",2,IF(Responses!AD4="Agak Benar",1,0)))</f>
        <v>0</v>
      </c>
      <c r="AE4" s="8">
        <f>IF(Responses!AE4="","",IF(Responses!AE4="Tidak Benar",2,IF(Responses!AE4="Agak Benar",1,0)))</f>
        <v>1</v>
      </c>
      <c r="AF4" s="20">
        <f t="shared" si="0"/>
        <v>0</v>
      </c>
      <c r="AG4" s="20">
        <f t="shared" si="1"/>
        <v>2</v>
      </c>
      <c r="AH4" s="20">
        <f t="shared" si="2"/>
        <v>3</v>
      </c>
      <c r="AI4" s="20">
        <f t="shared" si="3"/>
        <v>3</v>
      </c>
      <c r="AJ4" s="20">
        <f t="shared" si="4"/>
        <v>8</v>
      </c>
      <c r="AK4" s="20" t="str">
        <f t="shared" si="5"/>
        <v>Normal</v>
      </c>
      <c r="AL4" s="20" t="str">
        <f t="shared" si="6"/>
        <v>Normal</v>
      </c>
      <c r="AM4" s="20" t="str">
        <f t="shared" si="7"/>
        <v>Normal</v>
      </c>
      <c r="AN4" s="20" t="str">
        <f t="shared" si="8"/>
        <v>Normal</v>
      </c>
      <c r="AO4" s="20" t="str">
        <f t="shared" si="9"/>
        <v>Normal</v>
      </c>
      <c r="AP4" s="20">
        <f t="shared" si="10"/>
        <v>8</v>
      </c>
      <c r="AQ4" s="20" t="str">
        <f t="shared" si="11"/>
        <v>Normal</v>
      </c>
    </row>
    <row r="5" spans="1:43" x14ac:dyDescent="0.3">
      <c r="A5" s="19" t="str">
        <f>Responses!A5</f>
        <v>9N98jAV</v>
      </c>
      <c r="B5" s="19" t="str">
        <f>Responses!B5</f>
        <v>RGZObRK</v>
      </c>
      <c r="C5" s="19">
        <f>Responses!C5</f>
        <v>46136.092372685183</v>
      </c>
      <c r="D5" s="19" t="str">
        <f>Responses!D5</f>
        <v>Qori Ilyasa Fariduddin Purwadi</v>
      </c>
      <c r="E5" s="19" t="str">
        <f>Responses!E5</f>
        <v>XI-1</v>
      </c>
      <c r="F5" s="19">
        <f>Responses!F5</f>
        <v>17</v>
      </c>
      <c r="G5" s="8">
        <f>IF(Responses!G5="","",IF(Responses!G5="Benar",2,IF(Responses!G5="Agak Benar",1,0)))</f>
        <v>1</v>
      </c>
      <c r="H5" s="8">
        <f>IF(Responses!H5="","",IF(Responses!H5="Benar",2,IF(Responses!H5="Agak Benar",1,0)))</f>
        <v>0</v>
      </c>
      <c r="I5" s="8">
        <f>IF(Responses!I5="","",IF(Responses!I5="Benar",2,IF(Responses!I5="Agak Benar",1,0)))</f>
        <v>2</v>
      </c>
      <c r="J5" s="8">
        <f>IF(Responses!J5="","",IF(Responses!J5="Benar",2,IF(Responses!J5="Agak Benar",1,0)))</f>
        <v>2</v>
      </c>
      <c r="K5" s="8">
        <f>IF(Responses!K5="","",IF(Responses!K5="Benar",2,IF(Responses!K5="Agak Benar",1,0)))</f>
        <v>1</v>
      </c>
      <c r="L5" s="8">
        <f>IF(Responses!L5="","",IF(Responses!L5="Benar",2,IF(Responses!L5="Agak Benar",1,0)))</f>
        <v>1</v>
      </c>
      <c r="M5" s="8">
        <f>IF(Responses!M5="","",IF(Responses!M5="Tidak Benar",2,IF(Responses!M5="Agak Benar",1,0)))</f>
        <v>1</v>
      </c>
      <c r="N5" s="8">
        <f>IF(Responses!N5="","",IF(Responses!N5="Benar",2,IF(Responses!N5="Agak Benar",1,0)))</f>
        <v>2</v>
      </c>
      <c r="O5" s="8">
        <f>IF(Responses!O5="","",IF(Responses!O5="Benar",2,IF(Responses!O5="Agak Benar",1,0)))</f>
        <v>2</v>
      </c>
      <c r="P5" s="8">
        <f>IF(Responses!P5="","",IF(Responses!P5="Benar",2,IF(Responses!P5="Agak Benar",1,0)))</f>
        <v>2</v>
      </c>
      <c r="Q5" s="8">
        <f>IF(Responses!Q5="","",IF(Responses!Q5="Tidak Benar",2,IF(Responses!Q5="Agak Benar",1,0)))</f>
        <v>1</v>
      </c>
      <c r="R5" s="8">
        <f>IF(Responses!R5="","",IF(Responses!R5="Benar",2,IF(Responses!R5="Agak Benar",1,0)))</f>
        <v>1</v>
      </c>
      <c r="S5" s="8">
        <f>IF(Responses!S5="","",IF(Responses!S5="Benar",2,IF(Responses!S5="Agak Benar",1,0)))</f>
        <v>2</v>
      </c>
      <c r="T5" s="8">
        <f>IF(Responses!T5="","",IF(Responses!T5="Tidak Benar",2,IF(Responses!T5="Agak Benar",1,0)))</f>
        <v>2</v>
      </c>
      <c r="U5" s="8">
        <f>IF(Responses!U5="","",IF(Responses!U5="Benar",2,IF(Responses!U5="Agak Benar",1,0)))</f>
        <v>2</v>
      </c>
      <c r="V5" s="8">
        <f>IF(Responses!V5="","",IF(Responses!V5="Benar",2,IF(Responses!V5="Agak Benar",1,0)))</f>
        <v>1</v>
      </c>
      <c r="W5" s="8">
        <f>IF(Responses!W5="","",IF(Responses!W5="Benar",2,IF(Responses!W5="Agak Benar",1,0)))</f>
        <v>2</v>
      </c>
      <c r="X5" s="8">
        <f>IF(Responses!X5="","",IF(Responses!X5="Benar",2,IF(Responses!X5="Agak Benar",1,0)))</f>
        <v>1</v>
      </c>
      <c r="Y5" s="8">
        <f>IF(Responses!Y5="","",IF(Responses!Y5="Benar",2,IF(Responses!Y5="Agak Benar",1,0)))</f>
        <v>1</v>
      </c>
      <c r="Z5" s="8">
        <f>IF(Responses!Z5="","",IF(Responses!Z5="Benar",2,IF(Responses!Z5="Agak Benar",1,0)))</f>
        <v>2</v>
      </c>
      <c r="AA5" s="8">
        <f>IF(Responses!AA5="","",IF(Responses!AA5="Tidak Benar",2,IF(Responses!AA5="Agak Benar",1,0)))</f>
        <v>0</v>
      </c>
      <c r="AB5" s="8">
        <f>IF(Responses!AB5="","",IF(Responses!AB5="Benar",2,IF(Responses!AB5="Agak Benar",1,0)))</f>
        <v>0</v>
      </c>
      <c r="AC5" s="8">
        <f>IF(Responses!AC5="","",IF(Responses!AC5="Benar",2,IF(Responses!AC5="Agak Benar",1,0)))</f>
        <v>2</v>
      </c>
      <c r="AD5" s="8">
        <f>IF(Responses!AD5="","",IF(Responses!AD5="Benar",2,IF(Responses!AD5="Agak Benar",1,0)))</f>
        <v>2</v>
      </c>
      <c r="AE5" s="8">
        <f>IF(Responses!AE5="","",IF(Responses!AE5="Tidak Benar",2,IF(Responses!AE5="Agak Benar",1,0)))</f>
        <v>2</v>
      </c>
      <c r="AF5" s="20">
        <f t="shared" si="0"/>
        <v>9</v>
      </c>
      <c r="AG5" s="20">
        <f t="shared" si="1"/>
        <v>4</v>
      </c>
      <c r="AH5" s="20">
        <f t="shared" si="2"/>
        <v>6</v>
      </c>
      <c r="AI5" s="20">
        <f t="shared" si="3"/>
        <v>7</v>
      </c>
      <c r="AJ5" s="20">
        <f t="shared" si="4"/>
        <v>9</v>
      </c>
      <c r="AK5" s="20" t="str">
        <f t="shared" si="5"/>
        <v>Abnormal</v>
      </c>
      <c r="AL5" s="20" t="str">
        <f t="shared" si="6"/>
        <v>Borderline</v>
      </c>
      <c r="AM5" s="20" t="str">
        <f t="shared" si="7"/>
        <v>Borderline</v>
      </c>
      <c r="AN5" s="20" t="str">
        <f t="shared" si="8"/>
        <v>Abnormal</v>
      </c>
      <c r="AO5" s="20" t="str">
        <f t="shared" si="9"/>
        <v>Normal</v>
      </c>
      <c r="AP5" s="20">
        <f t="shared" si="10"/>
        <v>26</v>
      </c>
      <c r="AQ5" s="20" t="str">
        <f t="shared" si="11"/>
        <v>Abnormal</v>
      </c>
    </row>
    <row r="6" spans="1:43" x14ac:dyDescent="0.3">
      <c r="A6" s="19" t="str">
        <f>Responses!A6</f>
        <v>Eqd2RJ2</v>
      </c>
      <c r="B6" s="19" t="str">
        <f>Responses!B6</f>
        <v>EkBpN2L</v>
      </c>
      <c r="C6" s="19">
        <f>Responses!C6</f>
        <v>46136.09270833333</v>
      </c>
      <c r="D6" s="19" t="str">
        <f>Responses!D6</f>
        <v xml:space="preserve">Kirana Annisa Noegroho </v>
      </c>
      <c r="E6" s="19" t="str">
        <f>Responses!E6</f>
        <v>XI-1</v>
      </c>
      <c r="F6" s="19">
        <f>Responses!F6</f>
        <v>16</v>
      </c>
      <c r="G6" s="8">
        <f>IF(Responses!G6="","",IF(Responses!G6="Benar",2,IF(Responses!G6="Agak Benar",1,0)))</f>
        <v>2</v>
      </c>
      <c r="H6" s="8">
        <f>IF(Responses!H6="","",IF(Responses!H6="Benar",2,IF(Responses!H6="Agak Benar",1,0)))</f>
        <v>2</v>
      </c>
      <c r="I6" s="8">
        <f>IF(Responses!I6="","",IF(Responses!I6="Benar",2,IF(Responses!I6="Agak Benar",1,0)))</f>
        <v>0</v>
      </c>
      <c r="J6" s="8">
        <f>IF(Responses!J6="","",IF(Responses!J6="Benar",2,IF(Responses!J6="Agak Benar",1,0)))</f>
        <v>1</v>
      </c>
      <c r="K6" s="8">
        <f>IF(Responses!K6="","",IF(Responses!K6="Benar",2,IF(Responses!K6="Agak Benar",1,0)))</f>
        <v>0</v>
      </c>
      <c r="L6" s="8">
        <f>IF(Responses!L6="","",IF(Responses!L6="Benar",2,IF(Responses!L6="Agak Benar",1,0)))</f>
        <v>0</v>
      </c>
      <c r="M6" s="8">
        <f>IF(Responses!M6="","",IF(Responses!M6="Tidak Benar",2,IF(Responses!M6="Agak Benar",1,0)))</f>
        <v>1</v>
      </c>
      <c r="N6" s="8">
        <f>IF(Responses!N6="","",IF(Responses!N6="Benar",2,IF(Responses!N6="Agak Benar",1,0)))</f>
        <v>1</v>
      </c>
      <c r="O6" s="8">
        <f>IF(Responses!O6="","",IF(Responses!O6="Benar",2,IF(Responses!O6="Agak Benar",1,0)))</f>
        <v>1</v>
      </c>
      <c r="P6" s="8">
        <f>IF(Responses!P6="","",IF(Responses!P6="Benar",2,IF(Responses!P6="Agak Benar",1,0)))</f>
        <v>2</v>
      </c>
      <c r="Q6" s="8">
        <f>IF(Responses!Q6="","",IF(Responses!Q6="Tidak Benar",2,IF(Responses!Q6="Agak Benar",1,0)))</f>
        <v>0</v>
      </c>
      <c r="R6" s="8">
        <f>IF(Responses!R6="","",IF(Responses!R6="Benar",2,IF(Responses!R6="Agak Benar",1,0)))</f>
        <v>0</v>
      </c>
      <c r="S6" s="8">
        <f>IF(Responses!S6="","",IF(Responses!S6="Benar",2,IF(Responses!S6="Agak Benar",1,0)))</f>
        <v>0</v>
      </c>
      <c r="T6" s="8">
        <f>IF(Responses!T6="","",IF(Responses!T6="Tidak Benar",2,IF(Responses!T6="Agak Benar",1,0)))</f>
        <v>0</v>
      </c>
      <c r="U6" s="8">
        <f>IF(Responses!U6="","",IF(Responses!U6="Benar",2,IF(Responses!U6="Agak Benar",1,0)))</f>
        <v>0</v>
      </c>
      <c r="V6" s="8">
        <f>IF(Responses!V6="","",IF(Responses!V6="Benar",2,IF(Responses!V6="Agak Benar",1,0)))</f>
        <v>1</v>
      </c>
      <c r="W6" s="8">
        <f>IF(Responses!W6="","",IF(Responses!W6="Benar",2,IF(Responses!W6="Agak Benar",1,0)))</f>
        <v>1</v>
      </c>
      <c r="X6" s="8">
        <f>IF(Responses!X6="","",IF(Responses!X6="Benar",2,IF(Responses!X6="Agak Benar",1,0)))</f>
        <v>0</v>
      </c>
      <c r="Y6" s="8">
        <f>IF(Responses!Y6="","",IF(Responses!Y6="Benar",2,IF(Responses!Y6="Agak Benar",1,0)))</f>
        <v>0</v>
      </c>
      <c r="Z6" s="8">
        <f>IF(Responses!Z6="","",IF(Responses!Z6="Benar",2,IF(Responses!Z6="Agak Benar",1,0)))</f>
        <v>1</v>
      </c>
      <c r="AA6" s="8">
        <f>IF(Responses!AA6="","",IF(Responses!AA6="Tidak Benar",2,IF(Responses!AA6="Agak Benar",1,0)))</f>
        <v>1</v>
      </c>
      <c r="AB6" s="8">
        <f>IF(Responses!AB6="","",IF(Responses!AB6="Benar",2,IF(Responses!AB6="Agak Benar",1,0)))</f>
        <v>0</v>
      </c>
      <c r="AC6" s="8">
        <f>IF(Responses!AC6="","",IF(Responses!AC6="Benar",2,IF(Responses!AC6="Agak Benar",1,0)))</f>
        <v>0</v>
      </c>
      <c r="AD6" s="8">
        <f>IF(Responses!AD6="","",IF(Responses!AD6="Benar",2,IF(Responses!AD6="Agak Benar",1,0)))</f>
        <v>1</v>
      </c>
      <c r="AE6" s="8">
        <f>IF(Responses!AE6="","",IF(Responses!AE6="Tidak Benar",2,IF(Responses!AE6="Agak Benar",1,0)))</f>
        <v>0</v>
      </c>
      <c r="AF6" s="20">
        <f t="shared" si="0"/>
        <v>3</v>
      </c>
      <c r="AG6" s="20">
        <f t="shared" si="1"/>
        <v>1</v>
      </c>
      <c r="AH6" s="20">
        <f t="shared" si="2"/>
        <v>5</v>
      </c>
      <c r="AI6" s="20">
        <f t="shared" si="3"/>
        <v>0</v>
      </c>
      <c r="AJ6" s="20">
        <f t="shared" si="4"/>
        <v>6</v>
      </c>
      <c r="AK6" s="20" t="str">
        <f t="shared" si="5"/>
        <v>Normal</v>
      </c>
      <c r="AL6" s="20" t="str">
        <f t="shared" si="6"/>
        <v>Normal</v>
      </c>
      <c r="AM6" s="20" t="str">
        <f t="shared" si="7"/>
        <v>Normal</v>
      </c>
      <c r="AN6" s="20" t="str">
        <f t="shared" si="8"/>
        <v>Normal</v>
      </c>
      <c r="AO6" s="20" t="str">
        <f t="shared" si="9"/>
        <v>Normal</v>
      </c>
      <c r="AP6" s="20">
        <f t="shared" si="10"/>
        <v>9</v>
      </c>
      <c r="AQ6" s="20" t="str">
        <f t="shared" si="11"/>
        <v>Normal</v>
      </c>
    </row>
    <row r="7" spans="1:43" x14ac:dyDescent="0.3">
      <c r="A7" s="19" t="str">
        <f>Responses!A7</f>
        <v>BEdrr21</v>
      </c>
      <c r="B7" s="19" t="str">
        <f>Responses!B7</f>
        <v>Np4zdeW</v>
      </c>
      <c r="C7" s="19">
        <f>Responses!C7</f>
        <v>46136.092951388891</v>
      </c>
      <c r="D7" s="19" t="str">
        <f>Responses!D7</f>
        <v>Raffarel Jozka Dafiq Prihantara</v>
      </c>
      <c r="E7" s="19" t="str">
        <f>Responses!E7</f>
        <v>XI-1</v>
      </c>
      <c r="F7" s="19">
        <f>Responses!F7</f>
        <v>16</v>
      </c>
      <c r="G7" s="8">
        <f>IF(Responses!G7="","",IF(Responses!G7="Benar",2,IF(Responses!G7="Agak Benar",1,0)))</f>
        <v>2</v>
      </c>
      <c r="H7" s="8">
        <f>IF(Responses!H7="","",IF(Responses!H7="Benar",2,IF(Responses!H7="Agak Benar",1,0)))</f>
        <v>2</v>
      </c>
      <c r="I7" s="8">
        <f>IF(Responses!I7="","",IF(Responses!I7="Benar",2,IF(Responses!I7="Agak Benar",1,0)))</f>
        <v>0</v>
      </c>
      <c r="J7" s="8">
        <f>IF(Responses!J7="","",IF(Responses!J7="Benar",2,IF(Responses!J7="Agak Benar",1,0)))</f>
        <v>2</v>
      </c>
      <c r="K7" s="8">
        <f>IF(Responses!K7="","",IF(Responses!K7="Benar",2,IF(Responses!K7="Agak Benar",1,0)))</f>
        <v>1</v>
      </c>
      <c r="L7" s="8">
        <f>IF(Responses!L7="","",IF(Responses!L7="Benar",2,IF(Responses!L7="Agak Benar",1,0)))</f>
        <v>0</v>
      </c>
      <c r="M7" s="8">
        <f>IF(Responses!M7="","",IF(Responses!M7="Tidak Benar",2,IF(Responses!M7="Agak Benar",1,0)))</f>
        <v>2</v>
      </c>
      <c r="N7" s="8">
        <f>IF(Responses!N7="","",IF(Responses!N7="Benar",2,IF(Responses!N7="Agak Benar",1,0)))</f>
        <v>0</v>
      </c>
      <c r="O7" s="8">
        <f>IF(Responses!O7="","",IF(Responses!O7="Benar",2,IF(Responses!O7="Agak Benar",1,0)))</f>
        <v>2</v>
      </c>
      <c r="P7" s="8">
        <f>IF(Responses!P7="","",IF(Responses!P7="Benar",2,IF(Responses!P7="Agak Benar",1,0)))</f>
        <v>1</v>
      </c>
      <c r="Q7" s="8">
        <f>IF(Responses!Q7="","",IF(Responses!Q7="Tidak Benar",2,IF(Responses!Q7="Agak Benar",1,0)))</f>
        <v>0</v>
      </c>
      <c r="R7" s="8">
        <f>IF(Responses!R7="","",IF(Responses!R7="Benar",2,IF(Responses!R7="Agak Benar",1,0)))</f>
        <v>0</v>
      </c>
      <c r="S7" s="8">
        <f>IF(Responses!S7="","",IF(Responses!S7="Benar",2,IF(Responses!S7="Agak Benar",1,0)))</f>
        <v>0</v>
      </c>
      <c r="T7" s="8">
        <f>IF(Responses!T7="","",IF(Responses!T7="Tidak Benar",2,IF(Responses!T7="Agak Benar",1,0)))</f>
        <v>0</v>
      </c>
      <c r="U7" s="8">
        <f>IF(Responses!U7="","",IF(Responses!U7="Benar",2,IF(Responses!U7="Agak Benar",1,0)))</f>
        <v>1</v>
      </c>
      <c r="V7" s="8">
        <f>IF(Responses!V7="","",IF(Responses!V7="Benar",2,IF(Responses!V7="Agak Benar",1,0)))</f>
        <v>1</v>
      </c>
      <c r="W7" s="8">
        <f>IF(Responses!W7="","",IF(Responses!W7="Benar",2,IF(Responses!W7="Agak Benar",1,0)))</f>
        <v>2</v>
      </c>
      <c r="X7" s="8">
        <f>IF(Responses!X7="","",IF(Responses!X7="Benar",2,IF(Responses!X7="Agak Benar",1,0)))</f>
        <v>0</v>
      </c>
      <c r="Y7" s="8">
        <f>IF(Responses!Y7="","",IF(Responses!Y7="Benar",2,IF(Responses!Y7="Agak Benar",1,0)))</f>
        <v>0</v>
      </c>
      <c r="Z7" s="8">
        <f>IF(Responses!Z7="","",IF(Responses!Z7="Benar",2,IF(Responses!Z7="Agak Benar",1,0)))</f>
        <v>2</v>
      </c>
      <c r="AA7" s="8">
        <f>IF(Responses!AA7="","",IF(Responses!AA7="Tidak Benar",2,IF(Responses!AA7="Agak Benar",1,0)))</f>
        <v>0</v>
      </c>
      <c r="AB7" s="8">
        <f>IF(Responses!AB7="","",IF(Responses!AB7="Benar",2,IF(Responses!AB7="Agak Benar",1,0)))</f>
        <v>0</v>
      </c>
      <c r="AC7" s="8">
        <f>IF(Responses!AC7="","",IF(Responses!AC7="Benar",2,IF(Responses!AC7="Agak Benar",1,0)))</f>
        <v>2</v>
      </c>
      <c r="AD7" s="8">
        <f>IF(Responses!AD7="","",IF(Responses!AD7="Benar",2,IF(Responses!AD7="Agak Benar",1,0)))</f>
        <v>0</v>
      </c>
      <c r="AE7" s="8">
        <f>IF(Responses!AE7="","",IF(Responses!AE7="Tidak Benar",2,IF(Responses!AE7="Agak Benar",1,0)))</f>
        <v>0</v>
      </c>
      <c r="AF7" s="20">
        <f t="shared" si="0"/>
        <v>1</v>
      </c>
      <c r="AG7" s="20">
        <f t="shared" si="1"/>
        <v>3</v>
      </c>
      <c r="AH7" s="20">
        <f t="shared" si="2"/>
        <v>4</v>
      </c>
      <c r="AI7" s="20">
        <f t="shared" si="3"/>
        <v>2</v>
      </c>
      <c r="AJ7" s="20">
        <f t="shared" si="4"/>
        <v>10</v>
      </c>
      <c r="AK7" s="20" t="str">
        <f t="shared" si="5"/>
        <v>Normal</v>
      </c>
      <c r="AL7" s="20" t="str">
        <f t="shared" si="6"/>
        <v>Normal</v>
      </c>
      <c r="AM7" s="20" t="str">
        <f t="shared" si="7"/>
        <v>Normal</v>
      </c>
      <c r="AN7" s="20" t="str">
        <f t="shared" si="8"/>
        <v>Normal</v>
      </c>
      <c r="AO7" s="20" t="str">
        <f t="shared" si="9"/>
        <v>Normal</v>
      </c>
      <c r="AP7" s="20">
        <f t="shared" ref="AP7:AP70" si="12">IF(A7="","",AF7+AG7+AH7+AI7)</f>
        <v>10</v>
      </c>
      <c r="AQ7" s="20" t="str">
        <f t="shared" ref="AQ7:AQ70" si="13">IF(A7="","",IF(AP7&lt;=15,"Normal",IF(AP7&lt;=19,"Borderline","Abnormal")))</f>
        <v>Normal</v>
      </c>
    </row>
    <row r="8" spans="1:43" x14ac:dyDescent="0.3">
      <c r="A8" s="19" t="str">
        <f>Responses!A8</f>
        <v>M1NW06g</v>
      </c>
      <c r="B8" s="19" t="str">
        <f>Responses!B8</f>
        <v>vG0Rzk0</v>
      </c>
      <c r="C8" s="19">
        <f>Responses!C8</f>
        <v>46136.093148148153</v>
      </c>
      <c r="D8" s="19" t="str">
        <f>Responses!D8</f>
        <v xml:space="preserve">Salwa Nafisatul Khoerun Nisa </v>
      </c>
      <c r="E8" s="19" t="str">
        <f>Responses!E8</f>
        <v>XI-1</v>
      </c>
      <c r="F8" s="19">
        <f>Responses!F8</f>
        <v>17</v>
      </c>
      <c r="G8" s="8">
        <f>IF(Responses!G8="","",IF(Responses!G8="Benar",2,IF(Responses!G8="Agak Benar",1,0)))</f>
        <v>2</v>
      </c>
      <c r="H8" s="8">
        <f>IF(Responses!H8="","",IF(Responses!H8="Benar",2,IF(Responses!H8="Agak Benar",1,0)))</f>
        <v>1</v>
      </c>
      <c r="I8" s="8">
        <f>IF(Responses!I8="","",IF(Responses!I8="Benar",2,IF(Responses!I8="Agak Benar",1,0)))</f>
        <v>2</v>
      </c>
      <c r="J8" s="8">
        <f>IF(Responses!J8="","",IF(Responses!J8="Benar",2,IF(Responses!J8="Agak Benar",1,0)))</f>
        <v>2</v>
      </c>
      <c r="K8" s="8">
        <f>IF(Responses!K8="","",IF(Responses!K8="Benar",2,IF(Responses!K8="Agak Benar",1,0)))</f>
        <v>0</v>
      </c>
      <c r="L8" s="8">
        <f>IF(Responses!L8="","",IF(Responses!L8="Benar",2,IF(Responses!L8="Agak Benar",1,0)))</f>
        <v>2</v>
      </c>
      <c r="M8" s="8">
        <f>IF(Responses!M8="","",IF(Responses!M8="Tidak Benar",2,IF(Responses!M8="Agak Benar",1,0)))</f>
        <v>0</v>
      </c>
      <c r="N8" s="8">
        <f>IF(Responses!N8="","",IF(Responses!N8="Benar",2,IF(Responses!N8="Agak Benar",1,0)))</f>
        <v>2</v>
      </c>
      <c r="O8" s="8">
        <f>IF(Responses!O8="","",IF(Responses!O8="Benar",2,IF(Responses!O8="Agak Benar",1,0)))</f>
        <v>2</v>
      </c>
      <c r="P8" s="8">
        <f>IF(Responses!P8="","",IF(Responses!P8="Benar",2,IF(Responses!P8="Agak Benar",1,0)))</f>
        <v>2</v>
      </c>
      <c r="Q8" s="8">
        <f>IF(Responses!Q8="","",IF(Responses!Q8="Tidak Benar",2,IF(Responses!Q8="Agak Benar",1,0)))</f>
        <v>0</v>
      </c>
      <c r="R8" s="8">
        <f>IF(Responses!R8="","",IF(Responses!R8="Benar",2,IF(Responses!R8="Agak Benar",1,0)))</f>
        <v>0</v>
      </c>
      <c r="S8" s="8">
        <f>IF(Responses!S8="","",IF(Responses!S8="Benar",2,IF(Responses!S8="Agak Benar",1,0)))</f>
        <v>1</v>
      </c>
      <c r="T8" s="8">
        <f>IF(Responses!T8="","",IF(Responses!T8="Tidak Benar",2,IF(Responses!T8="Agak Benar",1,0)))</f>
        <v>0</v>
      </c>
      <c r="U8" s="8">
        <f>IF(Responses!U8="","",IF(Responses!U8="Benar",2,IF(Responses!U8="Agak Benar",1,0)))</f>
        <v>1</v>
      </c>
      <c r="V8" s="8">
        <f>IF(Responses!V8="","",IF(Responses!V8="Benar",2,IF(Responses!V8="Agak Benar",1,0)))</f>
        <v>2</v>
      </c>
      <c r="W8" s="8">
        <f>IF(Responses!W8="","",IF(Responses!W8="Benar",2,IF(Responses!W8="Agak Benar",1,0)))</f>
        <v>2</v>
      </c>
      <c r="X8" s="8">
        <f>IF(Responses!X8="","",IF(Responses!X8="Benar",2,IF(Responses!X8="Agak Benar",1,0)))</f>
        <v>0</v>
      </c>
      <c r="Y8" s="8">
        <f>IF(Responses!Y8="","",IF(Responses!Y8="Benar",2,IF(Responses!Y8="Agak Benar",1,0)))</f>
        <v>0</v>
      </c>
      <c r="Z8" s="8">
        <f>IF(Responses!Z8="","",IF(Responses!Z8="Benar",2,IF(Responses!Z8="Agak Benar",1,0)))</f>
        <v>2</v>
      </c>
      <c r="AA8" s="8">
        <f>IF(Responses!AA8="","",IF(Responses!AA8="Tidak Benar",2,IF(Responses!AA8="Agak Benar",1,0)))</f>
        <v>0</v>
      </c>
      <c r="AB8" s="8">
        <f>IF(Responses!AB8="","",IF(Responses!AB8="Benar",2,IF(Responses!AB8="Agak Benar",1,0)))</f>
        <v>0</v>
      </c>
      <c r="AC8" s="8">
        <f>IF(Responses!AC8="","",IF(Responses!AC8="Benar",2,IF(Responses!AC8="Agak Benar",1,0)))</f>
        <v>0</v>
      </c>
      <c r="AD8" s="8">
        <f>IF(Responses!AD8="","",IF(Responses!AD8="Benar",2,IF(Responses!AD8="Agak Benar",1,0)))</f>
        <v>2</v>
      </c>
      <c r="AE8" s="8">
        <f>IF(Responses!AE8="","",IF(Responses!AE8="Tidak Benar",2,IF(Responses!AE8="Agak Benar",1,0)))</f>
        <v>0</v>
      </c>
      <c r="AF8" s="20">
        <f t="shared" si="0"/>
        <v>9</v>
      </c>
      <c r="AG8" s="20">
        <f t="shared" si="1"/>
        <v>0</v>
      </c>
      <c r="AH8" s="20">
        <f t="shared" si="2"/>
        <v>4</v>
      </c>
      <c r="AI8" s="20">
        <f t="shared" si="3"/>
        <v>2</v>
      </c>
      <c r="AJ8" s="20">
        <f t="shared" si="4"/>
        <v>10</v>
      </c>
      <c r="AK8" s="20" t="str">
        <f t="shared" si="5"/>
        <v>Abnormal</v>
      </c>
      <c r="AL8" s="20" t="str">
        <f t="shared" si="6"/>
        <v>Normal</v>
      </c>
      <c r="AM8" s="20" t="str">
        <f t="shared" si="7"/>
        <v>Normal</v>
      </c>
      <c r="AN8" s="20" t="str">
        <f t="shared" si="8"/>
        <v>Normal</v>
      </c>
      <c r="AO8" s="20" t="str">
        <f t="shared" si="9"/>
        <v>Normal</v>
      </c>
      <c r="AP8" s="20">
        <f t="shared" si="12"/>
        <v>15</v>
      </c>
      <c r="AQ8" s="20" t="str">
        <f t="shared" si="13"/>
        <v>Normal</v>
      </c>
    </row>
    <row r="9" spans="1:43" x14ac:dyDescent="0.3">
      <c r="A9" s="19" t="str">
        <f>Responses!A9</f>
        <v>zEykPxa</v>
      </c>
      <c r="B9" s="19" t="str">
        <f>Responses!B9</f>
        <v>VL9rq96</v>
      </c>
      <c r="C9" s="19">
        <f>Responses!C9</f>
        <v>46136.0934837963</v>
      </c>
      <c r="D9" s="19" t="str">
        <f>Responses!D9</f>
        <v xml:space="preserve">Najwa Alya Puteri </v>
      </c>
      <c r="E9" s="19" t="str">
        <f>Responses!E9</f>
        <v>XI-1</v>
      </c>
      <c r="F9" s="19">
        <f>Responses!F9</f>
        <v>17</v>
      </c>
      <c r="G9" s="8">
        <f>IF(Responses!G9="","",IF(Responses!G9="Benar",2,IF(Responses!G9="Agak Benar",1,0)))</f>
        <v>2</v>
      </c>
      <c r="H9" s="8">
        <f>IF(Responses!H9="","",IF(Responses!H9="Benar",2,IF(Responses!H9="Agak Benar",1,0)))</f>
        <v>0</v>
      </c>
      <c r="I9" s="8">
        <f>IF(Responses!I9="","",IF(Responses!I9="Benar",2,IF(Responses!I9="Agak Benar",1,0)))</f>
        <v>2</v>
      </c>
      <c r="J9" s="8">
        <f>IF(Responses!J9="","",IF(Responses!J9="Benar",2,IF(Responses!J9="Agak Benar",1,0)))</f>
        <v>1</v>
      </c>
      <c r="K9" s="8">
        <f>IF(Responses!K9="","",IF(Responses!K9="Benar",2,IF(Responses!K9="Agak Benar",1,0)))</f>
        <v>1</v>
      </c>
      <c r="L9" s="8">
        <f>IF(Responses!L9="","",IF(Responses!L9="Benar",2,IF(Responses!L9="Agak Benar",1,0)))</f>
        <v>1</v>
      </c>
      <c r="M9" s="8">
        <f>IF(Responses!M9="","",IF(Responses!M9="Tidak Benar",2,IF(Responses!M9="Agak Benar",1,0)))</f>
        <v>1</v>
      </c>
      <c r="N9" s="8">
        <f>IF(Responses!N9="","",IF(Responses!N9="Benar",2,IF(Responses!N9="Agak Benar",1,0)))</f>
        <v>1</v>
      </c>
      <c r="O9" s="8">
        <f>IF(Responses!O9="","",IF(Responses!O9="Benar",2,IF(Responses!O9="Agak Benar",1,0)))</f>
        <v>2</v>
      </c>
      <c r="P9" s="8">
        <f>IF(Responses!P9="","",IF(Responses!P9="Benar",2,IF(Responses!P9="Agak Benar",1,0)))</f>
        <v>0</v>
      </c>
      <c r="Q9" s="8">
        <f>IF(Responses!Q9="","",IF(Responses!Q9="Tidak Benar",2,IF(Responses!Q9="Agak Benar",1,0)))</f>
        <v>0</v>
      </c>
      <c r="R9" s="8">
        <f>IF(Responses!R9="","",IF(Responses!R9="Benar",2,IF(Responses!R9="Agak Benar",1,0)))</f>
        <v>1</v>
      </c>
      <c r="S9" s="8">
        <f>IF(Responses!S9="","",IF(Responses!S9="Benar",2,IF(Responses!S9="Agak Benar",1,0)))</f>
        <v>1</v>
      </c>
      <c r="T9" s="8">
        <f>IF(Responses!T9="","",IF(Responses!T9="Tidak Benar",2,IF(Responses!T9="Agak Benar",1,0)))</f>
        <v>2</v>
      </c>
      <c r="U9" s="8">
        <f>IF(Responses!U9="","",IF(Responses!U9="Benar",2,IF(Responses!U9="Agak Benar",1,0)))</f>
        <v>0</v>
      </c>
      <c r="V9" s="8">
        <f>IF(Responses!V9="","",IF(Responses!V9="Benar",2,IF(Responses!V9="Agak Benar",1,0)))</f>
        <v>2</v>
      </c>
      <c r="W9" s="8">
        <f>IF(Responses!W9="","",IF(Responses!W9="Benar",2,IF(Responses!W9="Agak Benar",1,0)))</f>
        <v>1</v>
      </c>
      <c r="X9" s="8">
        <f>IF(Responses!X9="","",IF(Responses!X9="Benar",2,IF(Responses!X9="Agak Benar",1,0)))</f>
        <v>1</v>
      </c>
      <c r="Y9" s="8">
        <f>IF(Responses!Y9="","",IF(Responses!Y9="Benar",2,IF(Responses!Y9="Agak Benar",1,0)))</f>
        <v>2</v>
      </c>
      <c r="Z9" s="8">
        <f>IF(Responses!Z9="","",IF(Responses!Z9="Benar",2,IF(Responses!Z9="Agak Benar",1,0)))</f>
        <v>2</v>
      </c>
      <c r="AA9" s="8">
        <f>IF(Responses!AA9="","",IF(Responses!AA9="Tidak Benar",2,IF(Responses!AA9="Agak Benar",1,0)))</f>
        <v>0</v>
      </c>
      <c r="AB9" s="8">
        <f>IF(Responses!AB9="","",IF(Responses!AB9="Benar",2,IF(Responses!AB9="Agak Benar",1,0)))</f>
        <v>0</v>
      </c>
      <c r="AC9" s="8">
        <f>IF(Responses!AC9="","",IF(Responses!AC9="Benar",2,IF(Responses!AC9="Agak Benar",1,0)))</f>
        <v>1</v>
      </c>
      <c r="AD9" s="8">
        <f>IF(Responses!AD9="","",IF(Responses!AD9="Benar",2,IF(Responses!AD9="Agak Benar",1,0)))</f>
        <v>1</v>
      </c>
      <c r="AE9" s="8">
        <f>IF(Responses!AE9="","",IF(Responses!AE9="Tidak Benar",2,IF(Responses!AE9="Agak Benar",1,0)))</f>
        <v>1</v>
      </c>
      <c r="AF9" s="20">
        <f t="shared" si="0"/>
        <v>7</v>
      </c>
      <c r="AG9" s="20">
        <f t="shared" si="1"/>
        <v>4</v>
      </c>
      <c r="AH9" s="20">
        <f t="shared" si="2"/>
        <v>1</v>
      </c>
      <c r="AI9" s="20">
        <f t="shared" si="3"/>
        <v>6</v>
      </c>
      <c r="AJ9" s="20">
        <f t="shared" si="4"/>
        <v>8</v>
      </c>
      <c r="AK9" s="20" t="str">
        <f t="shared" si="5"/>
        <v>Abnormal</v>
      </c>
      <c r="AL9" s="20" t="str">
        <f t="shared" si="6"/>
        <v>Borderline</v>
      </c>
      <c r="AM9" s="20" t="str">
        <f t="shared" si="7"/>
        <v>Normal</v>
      </c>
      <c r="AN9" s="20" t="str">
        <f t="shared" si="8"/>
        <v>Abnormal</v>
      </c>
      <c r="AO9" s="20" t="str">
        <f t="shared" si="9"/>
        <v>Normal</v>
      </c>
      <c r="AP9" s="20">
        <f t="shared" si="12"/>
        <v>18</v>
      </c>
      <c r="AQ9" s="20" t="str">
        <f t="shared" si="13"/>
        <v>Borderline</v>
      </c>
    </row>
    <row r="10" spans="1:43" x14ac:dyDescent="0.3">
      <c r="A10" s="19" t="str">
        <f>Responses!A10</f>
        <v>BEdrMd7</v>
      </c>
      <c r="B10" s="19" t="str">
        <f>Responses!B10</f>
        <v>Mer0P6k</v>
      </c>
      <c r="C10" s="19">
        <f>Responses!C10</f>
        <v>46136.093495370369</v>
      </c>
      <c r="D10" s="19" t="str">
        <f>Responses!D10</f>
        <v xml:space="preserve">Syarifah Lutfia Varisha </v>
      </c>
      <c r="E10" s="19" t="str">
        <f>Responses!E10</f>
        <v>XI-1</v>
      </c>
      <c r="F10" s="19">
        <f>Responses!F10</f>
        <v>17</v>
      </c>
      <c r="G10" s="8">
        <f>IF(Responses!G10="","",IF(Responses!G10="Benar",2,IF(Responses!G10="Agak Benar",1,0)))</f>
        <v>2</v>
      </c>
      <c r="H10" s="8">
        <f>IF(Responses!H10="","",IF(Responses!H10="Benar",2,IF(Responses!H10="Agak Benar",1,0)))</f>
        <v>2</v>
      </c>
      <c r="I10" s="8">
        <f>IF(Responses!I10="","",IF(Responses!I10="Benar",2,IF(Responses!I10="Agak Benar",1,0)))</f>
        <v>1</v>
      </c>
      <c r="J10" s="8">
        <f>IF(Responses!J10="","",IF(Responses!J10="Benar",2,IF(Responses!J10="Agak Benar",1,0)))</f>
        <v>1</v>
      </c>
      <c r="K10" s="8">
        <f>IF(Responses!K10="","",IF(Responses!K10="Benar",2,IF(Responses!K10="Agak Benar",1,0)))</f>
        <v>1</v>
      </c>
      <c r="L10" s="8">
        <f>IF(Responses!L10="","",IF(Responses!L10="Benar",2,IF(Responses!L10="Agak Benar",1,0)))</f>
        <v>0</v>
      </c>
      <c r="M10" s="8">
        <f>IF(Responses!M10="","",IF(Responses!M10="Tidak Benar",2,IF(Responses!M10="Agak Benar",1,0)))</f>
        <v>0</v>
      </c>
      <c r="N10" s="8">
        <f>IF(Responses!N10="","",IF(Responses!N10="Benar",2,IF(Responses!N10="Agak Benar",1,0)))</f>
        <v>2</v>
      </c>
      <c r="O10" s="8">
        <f>IF(Responses!O10="","",IF(Responses!O10="Benar",2,IF(Responses!O10="Agak Benar",1,0)))</f>
        <v>2</v>
      </c>
      <c r="P10" s="8">
        <f>IF(Responses!P10="","",IF(Responses!P10="Benar",2,IF(Responses!P10="Agak Benar",1,0)))</f>
        <v>2</v>
      </c>
      <c r="Q10" s="8">
        <f>IF(Responses!Q10="","",IF(Responses!Q10="Tidak Benar",2,IF(Responses!Q10="Agak Benar",1,0)))</f>
        <v>0</v>
      </c>
      <c r="R10" s="8">
        <f>IF(Responses!R10="","",IF(Responses!R10="Benar",2,IF(Responses!R10="Agak Benar",1,0)))</f>
        <v>0</v>
      </c>
      <c r="S10" s="8">
        <f>IF(Responses!S10="","",IF(Responses!S10="Benar",2,IF(Responses!S10="Agak Benar",1,0)))</f>
        <v>1</v>
      </c>
      <c r="T10" s="8">
        <f>IF(Responses!T10="","",IF(Responses!T10="Tidak Benar",2,IF(Responses!T10="Agak Benar",1,0)))</f>
        <v>0</v>
      </c>
      <c r="U10" s="8">
        <f>IF(Responses!U10="","",IF(Responses!U10="Benar",2,IF(Responses!U10="Agak Benar",1,0)))</f>
        <v>1</v>
      </c>
      <c r="V10" s="8">
        <f>IF(Responses!V10="","",IF(Responses!V10="Benar",2,IF(Responses!V10="Agak Benar",1,0)))</f>
        <v>1</v>
      </c>
      <c r="W10" s="8">
        <f>IF(Responses!W10="","",IF(Responses!W10="Benar",2,IF(Responses!W10="Agak Benar",1,0)))</f>
        <v>2</v>
      </c>
      <c r="X10" s="8">
        <f>IF(Responses!X10="","",IF(Responses!X10="Benar",2,IF(Responses!X10="Agak Benar",1,0)))</f>
        <v>1</v>
      </c>
      <c r="Y10" s="8">
        <f>IF(Responses!Y10="","",IF(Responses!Y10="Benar",2,IF(Responses!Y10="Agak Benar",1,0)))</f>
        <v>0</v>
      </c>
      <c r="Z10" s="8">
        <f>IF(Responses!Z10="","",IF(Responses!Z10="Benar",2,IF(Responses!Z10="Agak Benar",1,0)))</f>
        <v>2</v>
      </c>
      <c r="AA10" s="8">
        <f>IF(Responses!AA10="","",IF(Responses!AA10="Tidak Benar",2,IF(Responses!AA10="Agak Benar",1,0)))</f>
        <v>0</v>
      </c>
      <c r="AB10" s="8">
        <f>IF(Responses!AB10="","",IF(Responses!AB10="Benar",2,IF(Responses!AB10="Agak Benar",1,0)))</f>
        <v>0</v>
      </c>
      <c r="AC10" s="8">
        <f>IF(Responses!AC10="","",IF(Responses!AC10="Benar",2,IF(Responses!AC10="Agak Benar",1,0)))</f>
        <v>0</v>
      </c>
      <c r="AD10" s="8">
        <f>IF(Responses!AD10="","",IF(Responses!AD10="Benar",2,IF(Responses!AD10="Agak Benar",1,0)))</f>
        <v>1</v>
      </c>
      <c r="AE10" s="8">
        <f>IF(Responses!AE10="","",IF(Responses!AE10="Tidak Benar",2,IF(Responses!AE10="Agak Benar",1,0)))</f>
        <v>1</v>
      </c>
      <c r="AF10" s="20">
        <f t="shared" si="0"/>
        <v>6</v>
      </c>
      <c r="AG10" s="20">
        <f t="shared" si="1"/>
        <v>2</v>
      </c>
      <c r="AH10" s="20">
        <f t="shared" si="2"/>
        <v>6</v>
      </c>
      <c r="AI10" s="20">
        <f t="shared" si="3"/>
        <v>0</v>
      </c>
      <c r="AJ10" s="20">
        <f t="shared" si="4"/>
        <v>9</v>
      </c>
      <c r="AK10" s="20" t="str">
        <f t="shared" si="5"/>
        <v>Borderline</v>
      </c>
      <c r="AL10" s="20" t="str">
        <f t="shared" si="6"/>
        <v>Normal</v>
      </c>
      <c r="AM10" s="20" t="str">
        <f t="shared" si="7"/>
        <v>Borderline</v>
      </c>
      <c r="AN10" s="20" t="str">
        <f t="shared" si="8"/>
        <v>Normal</v>
      </c>
      <c r="AO10" s="20" t="str">
        <f t="shared" si="9"/>
        <v>Normal</v>
      </c>
      <c r="AP10" s="20">
        <f t="shared" si="12"/>
        <v>14</v>
      </c>
      <c r="AQ10" s="20" t="str">
        <f t="shared" si="13"/>
        <v>Normal</v>
      </c>
    </row>
    <row r="11" spans="1:43" x14ac:dyDescent="0.3">
      <c r="A11" s="19" t="str">
        <f>Responses!A11</f>
        <v>NqlaGMj</v>
      </c>
      <c r="B11" s="19" t="str">
        <f>Responses!B11</f>
        <v>ob0JgPM</v>
      </c>
      <c r="C11" s="19">
        <f>Responses!C11</f>
        <v>46136.093564814822</v>
      </c>
      <c r="D11" s="19" t="str">
        <f>Responses!D11</f>
        <v xml:space="preserve">Bella Khalwanina Arastya </v>
      </c>
      <c r="E11" s="19" t="str">
        <f>Responses!E11</f>
        <v>XI-1</v>
      </c>
      <c r="F11" s="19">
        <f>Responses!F11</f>
        <v>18</v>
      </c>
      <c r="G11" s="8">
        <f>IF(Responses!G11="","",IF(Responses!G11="Benar",2,IF(Responses!G11="Agak Benar",1,0)))</f>
        <v>2</v>
      </c>
      <c r="H11" s="8">
        <f>IF(Responses!H11="","",IF(Responses!H11="Benar",2,IF(Responses!H11="Agak Benar",1,0)))</f>
        <v>0</v>
      </c>
      <c r="I11" s="8">
        <f>IF(Responses!I11="","",IF(Responses!I11="Benar",2,IF(Responses!I11="Agak Benar",1,0)))</f>
        <v>1</v>
      </c>
      <c r="J11" s="8">
        <f>IF(Responses!J11="","",IF(Responses!J11="Benar",2,IF(Responses!J11="Agak Benar",1,0)))</f>
        <v>1</v>
      </c>
      <c r="K11" s="8">
        <f>IF(Responses!K11="","",IF(Responses!K11="Benar",2,IF(Responses!K11="Agak Benar",1,0)))</f>
        <v>0</v>
      </c>
      <c r="L11" s="8">
        <f>IF(Responses!L11="","",IF(Responses!L11="Benar",2,IF(Responses!L11="Agak Benar",1,0)))</f>
        <v>2</v>
      </c>
      <c r="M11" s="8">
        <f>IF(Responses!M11="","",IF(Responses!M11="Tidak Benar",2,IF(Responses!M11="Agak Benar",1,0)))</f>
        <v>0</v>
      </c>
      <c r="N11" s="8">
        <f>IF(Responses!N11="","",IF(Responses!N11="Benar",2,IF(Responses!N11="Agak Benar",1,0)))</f>
        <v>1</v>
      </c>
      <c r="O11" s="8">
        <f>IF(Responses!O11="","",IF(Responses!O11="Benar",2,IF(Responses!O11="Agak Benar",1,0)))</f>
        <v>2</v>
      </c>
      <c r="P11" s="8">
        <f>IF(Responses!P11="","",IF(Responses!P11="Benar",2,IF(Responses!P11="Agak Benar",1,0)))</f>
        <v>1</v>
      </c>
      <c r="Q11" s="8">
        <f>IF(Responses!Q11="","",IF(Responses!Q11="Tidak Benar",2,IF(Responses!Q11="Agak Benar",1,0)))</f>
        <v>0</v>
      </c>
      <c r="R11" s="8">
        <f>IF(Responses!R11="","",IF(Responses!R11="Benar",2,IF(Responses!R11="Agak Benar",1,0)))</f>
        <v>0</v>
      </c>
      <c r="S11" s="8">
        <f>IF(Responses!S11="","",IF(Responses!S11="Benar",2,IF(Responses!S11="Agak Benar",1,0)))</f>
        <v>1</v>
      </c>
      <c r="T11" s="8">
        <f>IF(Responses!T11="","",IF(Responses!T11="Tidak Benar",2,IF(Responses!T11="Agak Benar",1,0)))</f>
        <v>1</v>
      </c>
      <c r="U11" s="8">
        <f>IF(Responses!U11="","",IF(Responses!U11="Benar",2,IF(Responses!U11="Agak Benar",1,0)))</f>
        <v>0</v>
      </c>
      <c r="V11" s="8">
        <f>IF(Responses!V11="","",IF(Responses!V11="Benar",2,IF(Responses!V11="Agak Benar",1,0)))</f>
        <v>1</v>
      </c>
      <c r="W11" s="8">
        <f>IF(Responses!W11="","",IF(Responses!W11="Benar",2,IF(Responses!W11="Agak Benar",1,0)))</f>
        <v>2</v>
      </c>
      <c r="X11" s="8">
        <f>IF(Responses!X11="","",IF(Responses!X11="Benar",2,IF(Responses!X11="Agak Benar",1,0)))</f>
        <v>0</v>
      </c>
      <c r="Y11" s="8">
        <f>IF(Responses!Y11="","",IF(Responses!Y11="Benar",2,IF(Responses!Y11="Agak Benar",1,0)))</f>
        <v>0</v>
      </c>
      <c r="Z11" s="8">
        <f>IF(Responses!Z11="","",IF(Responses!Z11="Benar",2,IF(Responses!Z11="Agak Benar",1,0)))</f>
        <v>2</v>
      </c>
      <c r="AA11" s="8">
        <f>IF(Responses!AA11="","",IF(Responses!AA11="Tidak Benar",2,IF(Responses!AA11="Agak Benar",1,0)))</f>
        <v>0</v>
      </c>
      <c r="AB11" s="8">
        <f>IF(Responses!AB11="","",IF(Responses!AB11="Benar",2,IF(Responses!AB11="Agak Benar",1,0)))</f>
        <v>0</v>
      </c>
      <c r="AC11" s="8">
        <f>IF(Responses!AC11="","",IF(Responses!AC11="Benar",2,IF(Responses!AC11="Agak Benar",1,0)))</f>
        <v>1</v>
      </c>
      <c r="AD11" s="8">
        <f>IF(Responses!AD11="","",IF(Responses!AD11="Benar",2,IF(Responses!AD11="Agak Benar",1,0)))</f>
        <v>1</v>
      </c>
      <c r="AE11" s="8">
        <f>IF(Responses!AE11="","",IF(Responses!AE11="Tidak Benar",2,IF(Responses!AE11="Agak Benar",1,0)))</f>
        <v>0</v>
      </c>
      <c r="AF11" s="20">
        <f t="shared" si="0"/>
        <v>5</v>
      </c>
      <c r="AG11" s="20">
        <f t="shared" si="1"/>
        <v>0</v>
      </c>
      <c r="AH11" s="20">
        <f t="shared" si="2"/>
        <v>1</v>
      </c>
      <c r="AI11" s="20">
        <f t="shared" si="3"/>
        <v>4</v>
      </c>
      <c r="AJ11" s="20">
        <f t="shared" si="4"/>
        <v>9</v>
      </c>
      <c r="AK11" s="20" t="str">
        <f t="shared" si="5"/>
        <v>Normal</v>
      </c>
      <c r="AL11" s="20" t="str">
        <f t="shared" si="6"/>
        <v>Normal</v>
      </c>
      <c r="AM11" s="20" t="str">
        <f t="shared" si="7"/>
        <v>Normal</v>
      </c>
      <c r="AN11" s="20" t="str">
        <f t="shared" si="8"/>
        <v>Borderline</v>
      </c>
      <c r="AO11" s="20" t="str">
        <f t="shared" si="9"/>
        <v>Normal</v>
      </c>
      <c r="AP11" s="20">
        <f t="shared" si="12"/>
        <v>10</v>
      </c>
      <c r="AQ11" s="20" t="str">
        <f t="shared" si="13"/>
        <v>Normal</v>
      </c>
    </row>
    <row r="12" spans="1:43" x14ac:dyDescent="0.3">
      <c r="A12" s="19" t="str">
        <f>Responses!A12</f>
        <v>e5QVkve</v>
      </c>
      <c r="B12" s="19" t="str">
        <f>Responses!B12</f>
        <v>RGZO2Ov</v>
      </c>
      <c r="C12" s="19">
        <f>Responses!C12</f>
        <v>46136.093576388892</v>
      </c>
      <c r="D12" s="19" t="str">
        <f>Responses!D12</f>
        <v xml:space="preserve">Nabila Putri Herawati </v>
      </c>
      <c r="E12" s="19" t="str">
        <f>Responses!E12</f>
        <v>XI-1</v>
      </c>
      <c r="F12" s="19">
        <f>Responses!F12</f>
        <v>16</v>
      </c>
      <c r="G12" s="8">
        <f>IF(Responses!G12="","",IF(Responses!G12="Benar",2,IF(Responses!G12="Agak Benar",1,0)))</f>
        <v>2</v>
      </c>
      <c r="H12" s="8">
        <f>IF(Responses!H12="","",IF(Responses!H12="Benar",2,IF(Responses!H12="Agak Benar",1,0)))</f>
        <v>1</v>
      </c>
      <c r="I12" s="8">
        <f>IF(Responses!I12="","",IF(Responses!I12="Benar",2,IF(Responses!I12="Agak Benar",1,0)))</f>
        <v>0</v>
      </c>
      <c r="J12" s="8">
        <f>IF(Responses!J12="","",IF(Responses!J12="Benar",2,IF(Responses!J12="Agak Benar",1,0)))</f>
        <v>2</v>
      </c>
      <c r="K12" s="8">
        <f>IF(Responses!K12="","",IF(Responses!K12="Benar",2,IF(Responses!K12="Agak Benar",1,0)))</f>
        <v>0</v>
      </c>
      <c r="L12" s="8">
        <f>IF(Responses!L12="","",IF(Responses!L12="Benar",2,IF(Responses!L12="Agak Benar",1,0)))</f>
        <v>0</v>
      </c>
      <c r="M12" s="8">
        <f>IF(Responses!M12="","",IF(Responses!M12="Tidak Benar",2,IF(Responses!M12="Agak Benar",1,0)))</f>
        <v>0</v>
      </c>
      <c r="N12" s="8">
        <f>IF(Responses!N12="","",IF(Responses!N12="Benar",2,IF(Responses!N12="Agak Benar",1,0)))</f>
        <v>0</v>
      </c>
      <c r="O12" s="8">
        <f>IF(Responses!O12="","",IF(Responses!O12="Benar",2,IF(Responses!O12="Agak Benar",1,0)))</f>
        <v>2</v>
      </c>
      <c r="P12" s="8">
        <f>IF(Responses!P12="","",IF(Responses!P12="Benar",2,IF(Responses!P12="Agak Benar",1,0)))</f>
        <v>0</v>
      </c>
      <c r="Q12" s="8">
        <f>IF(Responses!Q12="","",IF(Responses!Q12="Tidak Benar",2,IF(Responses!Q12="Agak Benar",1,0)))</f>
        <v>0</v>
      </c>
      <c r="R12" s="8">
        <f>IF(Responses!R12="","",IF(Responses!R12="Benar",2,IF(Responses!R12="Agak Benar",1,0)))</f>
        <v>0</v>
      </c>
      <c r="S12" s="8">
        <f>IF(Responses!S12="","",IF(Responses!S12="Benar",2,IF(Responses!S12="Agak Benar",1,0)))</f>
        <v>0</v>
      </c>
      <c r="T12" s="8">
        <f>IF(Responses!T12="","",IF(Responses!T12="Tidak Benar",2,IF(Responses!T12="Agak Benar",1,0)))</f>
        <v>0</v>
      </c>
      <c r="U12" s="8">
        <f>IF(Responses!U12="","",IF(Responses!U12="Benar",2,IF(Responses!U12="Agak Benar",1,0)))</f>
        <v>0</v>
      </c>
      <c r="V12" s="8">
        <f>IF(Responses!V12="","",IF(Responses!V12="Benar",2,IF(Responses!V12="Agak Benar",1,0)))</f>
        <v>1</v>
      </c>
      <c r="W12" s="8">
        <f>IF(Responses!W12="","",IF(Responses!W12="Benar",2,IF(Responses!W12="Agak Benar",1,0)))</f>
        <v>2</v>
      </c>
      <c r="X12" s="8">
        <f>IF(Responses!X12="","",IF(Responses!X12="Benar",2,IF(Responses!X12="Agak Benar",1,0)))</f>
        <v>0</v>
      </c>
      <c r="Y12" s="8">
        <f>IF(Responses!Y12="","",IF(Responses!Y12="Benar",2,IF(Responses!Y12="Agak Benar",1,0)))</f>
        <v>0</v>
      </c>
      <c r="Z12" s="8">
        <f>IF(Responses!Z12="","",IF(Responses!Z12="Benar",2,IF(Responses!Z12="Agak Benar",1,0)))</f>
        <v>2</v>
      </c>
      <c r="AA12" s="8">
        <f>IF(Responses!AA12="","",IF(Responses!AA12="Tidak Benar",2,IF(Responses!AA12="Agak Benar",1,0)))</f>
        <v>0</v>
      </c>
      <c r="AB12" s="8">
        <f>IF(Responses!AB12="","",IF(Responses!AB12="Benar",2,IF(Responses!AB12="Agak Benar",1,0)))</f>
        <v>0</v>
      </c>
      <c r="AC12" s="8">
        <f>IF(Responses!AC12="","",IF(Responses!AC12="Benar",2,IF(Responses!AC12="Agak Benar",1,0)))</f>
        <v>0</v>
      </c>
      <c r="AD12" s="8">
        <f>IF(Responses!AD12="","",IF(Responses!AD12="Benar",2,IF(Responses!AD12="Agak Benar",1,0)))</f>
        <v>1</v>
      </c>
      <c r="AE12" s="8">
        <f>IF(Responses!AE12="","",IF(Responses!AE12="Tidak Benar",2,IF(Responses!AE12="Agak Benar",1,0)))</f>
        <v>0</v>
      </c>
      <c r="AF12" s="20">
        <f t="shared" si="0"/>
        <v>2</v>
      </c>
      <c r="AG12" s="20">
        <f t="shared" si="1"/>
        <v>0</v>
      </c>
      <c r="AH12" s="20">
        <f t="shared" si="2"/>
        <v>1</v>
      </c>
      <c r="AI12" s="20">
        <f t="shared" si="3"/>
        <v>0</v>
      </c>
      <c r="AJ12" s="20">
        <f t="shared" si="4"/>
        <v>10</v>
      </c>
      <c r="AK12" s="20" t="str">
        <f t="shared" si="5"/>
        <v>Normal</v>
      </c>
      <c r="AL12" s="20" t="str">
        <f t="shared" si="6"/>
        <v>Normal</v>
      </c>
      <c r="AM12" s="20" t="str">
        <f t="shared" si="7"/>
        <v>Normal</v>
      </c>
      <c r="AN12" s="20" t="str">
        <f t="shared" si="8"/>
        <v>Normal</v>
      </c>
      <c r="AO12" s="20" t="str">
        <f t="shared" si="9"/>
        <v>Normal</v>
      </c>
      <c r="AP12" s="20">
        <f t="shared" si="12"/>
        <v>3</v>
      </c>
      <c r="AQ12" s="20" t="str">
        <f t="shared" si="13"/>
        <v>Normal</v>
      </c>
    </row>
    <row r="13" spans="1:43" x14ac:dyDescent="0.3">
      <c r="A13" s="19" t="str">
        <f>Responses!A13</f>
        <v>kbe2MX6</v>
      </c>
      <c r="B13" s="19" t="str">
        <f>Responses!B13</f>
        <v>dWZ7pEd</v>
      </c>
      <c r="C13" s="19">
        <f>Responses!C13</f>
        <v>46136.093622685177</v>
      </c>
      <c r="D13" s="19" t="str">
        <f>Responses!D13</f>
        <v>Arsyita</v>
      </c>
      <c r="E13" s="19" t="str">
        <f>Responses!E13</f>
        <v>XI-1</v>
      </c>
      <c r="F13" s="19">
        <f>Responses!F13</f>
        <v>16</v>
      </c>
      <c r="G13" s="8">
        <f>IF(Responses!G13="","",IF(Responses!G13="Benar",2,IF(Responses!G13="Agak Benar",1,0)))</f>
        <v>2</v>
      </c>
      <c r="H13" s="8">
        <f>IF(Responses!H13="","",IF(Responses!H13="Benar",2,IF(Responses!H13="Agak Benar",1,0)))</f>
        <v>0</v>
      </c>
      <c r="I13" s="8">
        <f>IF(Responses!I13="","",IF(Responses!I13="Benar",2,IF(Responses!I13="Agak Benar",1,0)))</f>
        <v>1</v>
      </c>
      <c r="J13" s="8">
        <f>IF(Responses!J13="","",IF(Responses!J13="Benar",2,IF(Responses!J13="Agak Benar",1,0)))</f>
        <v>2</v>
      </c>
      <c r="K13" s="8">
        <f>IF(Responses!K13="","",IF(Responses!K13="Benar",2,IF(Responses!K13="Agak Benar",1,0)))</f>
        <v>1</v>
      </c>
      <c r="L13" s="8">
        <f>IF(Responses!L13="","",IF(Responses!L13="Benar",2,IF(Responses!L13="Agak Benar",1,0)))</f>
        <v>0</v>
      </c>
      <c r="M13" s="8">
        <f>IF(Responses!M13="","",IF(Responses!M13="Tidak Benar",2,IF(Responses!M13="Agak Benar",1,0)))</f>
        <v>1</v>
      </c>
      <c r="N13" s="8">
        <f>IF(Responses!N13="","",IF(Responses!N13="Benar",2,IF(Responses!N13="Agak Benar",1,0)))</f>
        <v>0</v>
      </c>
      <c r="O13" s="8">
        <f>IF(Responses!O13="","",IF(Responses!O13="Benar",2,IF(Responses!O13="Agak Benar",1,0)))</f>
        <v>2</v>
      </c>
      <c r="P13" s="8">
        <f>IF(Responses!P13="","",IF(Responses!P13="Benar",2,IF(Responses!P13="Agak Benar",1,0)))</f>
        <v>0</v>
      </c>
      <c r="Q13" s="8">
        <f>IF(Responses!Q13="","",IF(Responses!Q13="Tidak Benar",2,IF(Responses!Q13="Agak Benar",1,0)))</f>
        <v>0</v>
      </c>
      <c r="R13" s="8">
        <f>IF(Responses!R13="","",IF(Responses!R13="Benar",2,IF(Responses!R13="Agak Benar",1,0)))</f>
        <v>0</v>
      </c>
      <c r="S13" s="8">
        <f>IF(Responses!S13="","",IF(Responses!S13="Benar",2,IF(Responses!S13="Agak Benar",1,0)))</f>
        <v>1</v>
      </c>
      <c r="T13" s="8">
        <f>IF(Responses!T13="","",IF(Responses!T13="Tidak Benar",2,IF(Responses!T13="Agak Benar",1,0)))</f>
        <v>0</v>
      </c>
      <c r="U13" s="8">
        <f>IF(Responses!U13="","",IF(Responses!U13="Benar",2,IF(Responses!U13="Agak Benar",1,0)))</f>
        <v>1</v>
      </c>
      <c r="V13" s="8">
        <f>IF(Responses!V13="","",IF(Responses!V13="Benar",2,IF(Responses!V13="Agak Benar",1,0)))</f>
        <v>0</v>
      </c>
      <c r="W13" s="8">
        <f>IF(Responses!W13="","",IF(Responses!W13="Benar",2,IF(Responses!W13="Agak Benar",1,0)))</f>
        <v>1</v>
      </c>
      <c r="X13" s="8">
        <f>IF(Responses!X13="","",IF(Responses!X13="Benar",2,IF(Responses!X13="Agak Benar",1,0)))</f>
        <v>0</v>
      </c>
      <c r="Y13" s="8">
        <f>IF(Responses!Y13="","",IF(Responses!Y13="Benar",2,IF(Responses!Y13="Agak Benar",1,0)))</f>
        <v>0</v>
      </c>
      <c r="Z13" s="8">
        <f>IF(Responses!Z13="","",IF(Responses!Z13="Benar",2,IF(Responses!Z13="Agak Benar",1,0)))</f>
        <v>1</v>
      </c>
      <c r="AA13" s="8">
        <f>IF(Responses!AA13="","",IF(Responses!AA13="Tidak Benar",2,IF(Responses!AA13="Agak Benar",1,0)))</f>
        <v>1</v>
      </c>
      <c r="AB13" s="8">
        <f>IF(Responses!AB13="","",IF(Responses!AB13="Benar",2,IF(Responses!AB13="Agak Benar",1,0)))</f>
        <v>0</v>
      </c>
      <c r="AC13" s="8">
        <f>IF(Responses!AC13="","",IF(Responses!AC13="Benar",2,IF(Responses!AC13="Agak Benar",1,0)))</f>
        <v>0</v>
      </c>
      <c r="AD13" s="8">
        <f>IF(Responses!AD13="","",IF(Responses!AD13="Benar",2,IF(Responses!AD13="Agak Benar",1,0)))</f>
        <v>1</v>
      </c>
      <c r="AE13" s="8">
        <f>IF(Responses!AE13="","",IF(Responses!AE13="Tidak Benar",2,IF(Responses!AE13="Agak Benar",1,0)))</f>
        <v>1</v>
      </c>
      <c r="AF13" s="20">
        <f t="shared" si="0"/>
        <v>3</v>
      </c>
      <c r="AG13" s="20">
        <f t="shared" si="1"/>
        <v>2</v>
      </c>
      <c r="AH13" s="20">
        <f t="shared" si="2"/>
        <v>3</v>
      </c>
      <c r="AI13" s="20">
        <f t="shared" si="3"/>
        <v>0</v>
      </c>
      <c r="AJ13" s="20">
        <f t="shared" si="4"/>
        <v>8</v>
      </c>
      <c r="AK13" s="20" t="str">
        <f t="shared" si="5"/>
        <v>Normal</v>
      </c>
      <c r="AL13" s="20" t="str">
        <f t="shared" si="6"/>
        <v>Normal</v>
      </c>
      <c r="AM13" s="20" t="str">
        <f t="shared" si="7"/>
        <v>Normal</v>
      </c>
      <c r="AN13" s="20" t="str">
        <f t="shared" si="8"/>
        <v>Normal</v>
      </c>
      <c r="AO13" s="20" t="str">
        <f t="shared" si="9"/>
        <v>Normal</v>
      </c>
      <c r="AP13" s="20">
        <f t="shared" si="12"/>
        <v>8</v>
      </c>
      <c r="AQ13" s="20" t="str">
        <f t="shared" si="13"/>
        <v>Normal</v>
      </c>
    </row>
    <row r="14" spans="1:43" x14ac:dyDescent="0.3">
      <c r="A14" s="19" t="str">
        <f>Responses!A14</f>
        <v>4aJMgJX</v>
      </c>
      <c r="B14" s="19" t="str">
        <f>Responses!B14</f>
        <v>xX0Go49</v>
      </c>
      <c r="C14" s="19">
        <f>Responses!C14</f>
        <v>46136.0937037037</v>
      </c>
      <c r="D14" s="19" t="str">
        <f>Responses!D14</f>
        <v>Maya Rosela Wati</v>
      </c>
      <c r="E14" s="19" t="str">
        <f>Responses!E14</f>
        <v>XI-1</v>
      </c>
      <c r="F14" s="19">
        <f>Responses!F14</f>
        <v>16</v>
      </c>
      <c r="G14" s="8">
        <f>IF(Responses!G14="","",IF(Responses!G14="Benar",2,IF(Responses!G14="Agak Benar",1,0)))</f>
        <v>2</v>
      </c>
      <c r="H14" s="8">
        <f>IF(Responses!H14="","",IF(Responses!H14="Benar",2,IF(Responses!H14="Agak Benar",1,0)))</f>
        <v>0</v>
      </c>
      <c r="I14" s="8">
        <f>IF(Responses!I14="","",IF(Responses!I14="Benar",2,IF(Responses!I14="Agak Benar",1,0)))</f>
        <v>0</v>
      </c>
      <c r="J14" s="8">
        <f>IF(Responses!J14="","",IF(Responses!J14="Benar",2,IF(Responses!J14="Agak Benar",1,0)))</f>
        <v>2</v>
      </c>
      <c r="K14" s="8">
        <f>IF(Responses!K14="","",IF(Responses!K14="Benar",2,IF(Responses!K14="Agak Benar",1,0)))</f>
        <v>0</v>
      </c>
      <c r="L14" s="8">
        <f>IF(Responses!L14="","",IF(Responses!L14="Benar",2,IF(Responses!L14="Agak Benar",1,0)))</f>
        <v>0</v>
      </c>
      <c r="M14" s="8">
        <f>IF(Responses!M14="","",IF(Responses!M14="Tidak Benar",2,IF(Responses!M14="Agak Benar",1,0)))</f>
        <v>1</v>
      </c>
      <c r="N14" s="8">
        <f>IF(Responses!N14="","",IF(Responses!N14="Benar",2,IF(Responses!N14="Agak Benar",1,0)))</f>
        <v>1</v>
      </c>
      <c r="O14" s="8">
        <f>IF(Responses!O14="","",IF(Responses!O14="Benar",2,IF(Responses!O14="Agak Benar",1,0)))</f>
        <v>2</v>
      </c>
      <c r="P14" s="8">
        <f>IF(Responses!P14="","",IF(Responses!P14="Benar",2,IF(Responses!P14="Agak Benar",1,0)))</f>
        <v>0</v>
      </c>
      <c r="Q14" s="8">
        <f>IF(Responses!Q14="","",IF(Responses!Q14="Tidak Benar",2,IF(Responses!Q14="Agak Benar",1,0)))</f>
        <v>0</v>
      </c>
      <c r="R14" s="8">
        <f>IF(Responses!R14="","",IF(Responses!R14="Benar",2,IF(Responses!R14="Agak Benar",1,0)))</f>
        <v>0</v>
      </c>
      <c r="S14" s="8">
        <f>IF(Responses!S14="","",IF(Responses!S14="Benar",2,IF(Responses!S14="Agak Benar",1,0)))</f>
        <v>0</v>
      </c>
      <c r="T14" s="8">
        <f>IF(Responses!T14="","",IF(Responses!T14="Tidak Benar",2,IF(Responses!T14="Agak Benar",1,0)))</f>
        <v>1</v>
      </c>
      <c r="U14" s="8">
        <f>IF(Responses!U14="","",IF(Responses!U14="Benar",2,IF(Responses!U14="Agak Benar",1,0)))</f>
        <v>0</v>
      </c>
      <c r="V14" s="8">
        <f>IF(Responses!V14="","",IF(Responses!V14="Benar",2,IF(Responses!V14="Agak Benar",1,0)))</f>
        <v>1</v>
      </c>
      <c r="W14" s="8">
        <f>IF(Responses!W14="","",IF(Responses!W14="Benar",2,IF(Responses!W14="Agak Benar",1,0)))</f>
        <v>2</v>
      </c>
      <c r="X14" s="8">
        <f>IF(Responses!X14="","",IF(Responses!X14="Benar",2,IF(Responses!X14="Agak Benar",1,0)))</f>
        <v>0</v>
      </c>
      <c r="Y14" s="8">
        <f>IF(Responses!Y14="","",IF(Responses!Y14="Benar",2,IF(Responses!Y14="Agak Benar",1,0)))</f>
        <v>0</v>
      </c>
      <c r="Z14" s="8">
        <f>IF(Responses!Z14="","",IF(Responses!Z14="Benar",2,IF(Responses!Z14="Agak Benar",1,0)))</f>
        <v>2</v>
      </c>
      <c r="AA14" s="8">
        <f>IF(Responses!AA14="","",IF(Responses!AA14="Tidak Benar",2,IF(Responses!AA14="Agak Benar",1,0)))</f>
        <v>0</v>
      </c>
      <c r="AB14" s="8">
        <f>IF(Responses!AB14="","",IF(Responses!AB14="Benar",2,IF(Responses!AB14="Agak Benar",1,0)))</f>
        <v>0</v>
      </c>
      <c r="AC14" s="8">
        <f>IF(Responses!AC14="","",IF(Responses!AC14="Benar",2,IF(Responses!AC14="Agak Benar",1,0)))</f>
        <v>0</v>
      </c>
      <c r="AD14" s="8">
        <f>IF(Responses!AD14="","",IF(Responses!AD14="Benar",2,IF(Responses!AD14="Agak Benar",1,0)))</f>
        <v>0</v>
      </c>
      <c r="AE14" s="8">
        <f>IF(Responses!AE14="","",IF(Responses!AE14="Tidak Benar",2,IF(Responses!AE14="Agak Benar",1,0)))</f>
        <v>0</v>
      </c>
      <c r="AF14" s="20">
        <f t="shared" si="0"/>
        <v>2</v>
      </c>
      <c r="AG14" s="20">
        <f t="shared" si="1"/>
        <v>1</v>
      </c>
      <c r="AH14" s="20">
        <f t="shared" si="2"/>
        <v>0</v>
      </c>
      <c r="AI14" s="20">
        <f t="shared" si="3"/>
        <v>1</v>
      </c>
      <c r="AJ14" s="20">
        <f t="shared" si="4"/>
        <v>10</v>
      </c>
      <c r="AK14" s="20" t="str">
        <f t="shared" si="5"/>
        <v>Normal</v>
      </c>
      <c r="AL14" s="20" t="str">
        <f t="shared" si="6"/>
        <v>Normal</v>
      </c>
      <c r="AM14" s="20" t="str">
        <f t="shared" si="7"/>
        <v>Normal</v>
      </c>
      <c r="AN14" s="20" t="str">
        <f t="shared" si="8"/>
        <v>Normal</v>
      </c>
      <c r="AO14" s="20" t="str">
        <f t="shared" si="9"/>
        <v>Normal</v>
      </c>
      <c r="AP14" s="20">
        <f t="shared" si="12"/>
        <v>4</v>
      </c>
      <c r="AQ14" s="20" t="str">
        <f t="shared" si="13"/>
        <v>Normal</v>
      </c>
    </row>
    <row r="15" spans="1:43" x14ac:dyDescent="0.3">
      <c r="A15" s="19" t="str">
        <f>Responses!A15</f>
        <v>OQ46WJA</v>
      </c>
      <c r="B15" s="19" t="str">
        <f>Responses!B15</f>
        <v>D4XLY9Z</v>
      </c>
      <c r="C15" s="19">
        <f>Responses!C15</f>
        <v>46136.093761574077</v>
      </c>
      <c r="D15" s="19" t="str">
        <f>Responses!D15</f>
        <v xml:space="preserve">Danna Arya Dewanta </v>
      </c>
      <c r="E15" s="19" t="str">
        <f>Responses!E15</f>
        <v>XI-1</v>
      </c>
      <c r="F15" s="19">
        <f>Responses!F15</f>
        <v>17</v>
      </c>
      <c r="G15" s="8">
        <f>IF(Responses!G15="","",IF(Responses!G15="Benar",2,IF(Responses!G15="Agak Benar",1,0)))</f>
        <v>2</v>
      </c>
      <c r="H15" s="8">
        <f>IF(Responses!H15="","",IF(Responses!H15="Benar",2,IF(Responses!H15="Agak Benar",1,0)))</f>
        <v>0</v>
      </c>
      <c r="I15" s="8">
        <f>IF(Responses!I15="","",IF(Responses!I15="Benar",2,IF(Responses!I15="Agak Benar",1,0)))</f>
        <v>0</v>
      </c>
      <c r="J15" s="8">
        <f>IF(Responses!J15="","",IF(Responses!J15="Benar",2,IF(Responses!J15="Agak Benar",1,0)))</f>
        <v>1</v>
      </c>
      <c r="K15" s="8">
        <f>IF(Responses!K15="","",IF(Responses!K15="Benar",2,IF(Responses!K15="Agak Benar",1,0)))</f>
        <v>0</v>
      </c>
      <c r="L15" s="8">
        <f>IF(Responses!L15="","",IF(Responses!L15="Benar",2,IF(Responses!L15="Agak Benar",1,0)))</f>
        <v>1</v>
      </c>
      <c r="M15" s="8">
        <f>IF(Responses!M15="","",IF(Responses!M15="Tidak Benar",2,IF(Responses!M15="Agak Benar",1,0)))</f>
        <v>1</v>
      </c>
      <c r="N15" s="8">
        <f>IF(Responses!N15="","",IF(Responses!N15="Benar",2,IF(Responses!N15="Agak Benar",1,0)))</f>
        <v>0</v>
      </c>
      <c r="O15" s="8">
        <f>IF(Responses!O15="","",IF(Responses!O15="Benar",2,IF(Responses!O15="Agak Benar",1,0)))</f>
        <v>1</v>
      </c>
      <c r="P15" s="8">
        <f>IF(Responses!P15="","",IF(Responses!P15="Benar",2,IF(Responses!P15="Agak Benar",1,0)))</f>
        <v>1</v>
      </c>
      <c r="Q15" s="8">
        <f>IF(Responses!Q15="","",IF(Responses!Q15="Tidak Benar",2,IF(Responses!Q15="Agak Benar",1,0)))</f>
        <v>0</v>
      </c>
      <c r="R15" s="8">
        <f>IF(Responses!R15="","",IF(Responses!R15="Benar",2,IF(Responses!R15="Agak Benar",1,0)))</f>
        <v>0</v>
      </c>
      <c r="S15" s="8">
        <f>IF(Responses!S15="","",IF(Responses!S15="Benar",2,IF(Responses!S15="Agak Benar",1,0)))</f>
        <v>0</v>
      </c>
      <c r="T15" s="8">
        <f>IF(Responses!T15="","",IF(Responses!T15="Tidak Benar",2,IF(Responses!T15="Agak Benar",1,0)))</f>
        <v>1</v>
      </c>
      <c r="U15" s="8">
        <f>IF(Responses!U15="","",IF(Responses!U15="Benar",2,IF(Responses!U15="Agak Benar",1,0)))</f>
        <v>1</v>
      </c>
      <c r="V15" s="8">
        <f>IF(Responses!V15="","",IF(Responses!V15="Benar",2,IF(Responses!V15="Agak Benar",1,0)))</f>
        <v>0</v>
      </c>
      <c r="W15" s="8">
        <f>IF(Responses!W15="","",IF(Responses!W15="Benar",2,IF(Responses!W15="Agak Benar",1,0)))</f>
        <v>2</v>
      </c>
      <c r="X15" s="8">
        <f>IF(Responses!X15="","",IF(Responses!X15="Benar",2,IF(Responses!X15="Agak Benar",1,0)))</f>
        <v>1</v>
      </c>
      <c r="Y15" s="8">
        <f>IF(Responses!Y15="","",IF(Responses!Y15="Benar",2,IF(Responses!Y15="Agak Benar",1,0)))</f>
        <v>0</v>
      </c>
      <c r="Z15" s="8">
        <f>IF(Responses!Z15="","",IF(Responses!Z15="Benar",2,IF(Responses!Z15="Agak Benar",1,0)))</f>
        <v>1</v>
      </c>
      <c r="AA15" s="8">
        <f>IF(Responses!AA15="","",IF(Responses!AA15="Tidak Benar",2,IF(Responses!AA15="Agak Benar",1,0)))</f>
        <v>0</v>
      </c>
      <c r="AB15" s="8">
        <f>IF(Responses!AB15="","",IF(Responses!AB15="Benar",2,IF(Responses!AB15="Agak Benar",1,0)))</f>
        <v>0</v>
      </c>
      <c r="AC15" s="8">
        <f>IF(Responses!AC15="","",IF(Responses!AC15="Benar",2,IF(Responses!AC15="Agak Benar",1,0)))</f>
        <v>1</v>
      </c>
      <c r="AD15" s="8">
        <f>IF(Responses!AD15="","",IF(Responses!AD15="Benar",2,IF(Responses!AD15="Agak Benar",1,0)))</f>
        <v>0</v>
      </c>
      <c r="AE15" s="8">
        <f>IF(Responses!AE15="","",IF(Responses!AE15="Tidak Benar",2,IF(Responses!AE15="Agak Benar",1,0)))</f>
        <v>1</v>
      </c>
      <c r="AF15" s="20">
        <f t="shared" si="0"/>
        <v>0</v>
      </c>
      <c r="AG15" s="20">
        <f t="shared" si="1"/>
        <v>2</v>
      </c>
      <c r="AH15" s="20">
        <f t="shared" si="2"/>
        <v>3</v>
      </c>
      <c r="AI15" s="20">
        <f t="shared" si="3"/>
        <v>3</v>
      </c>
      <c r="AJ15" s="20">
        <f t="shared" si="4"/>
        <v>7</v>
      </c>
      <c r="AK15" s="20" t="str">
        <f t="shared" si="5"/>
        <v>Normal</v>
      </c>
      <c r="AL15" s="20" t="str">
        <f t="shared" si="6"/>
        <v>Normal</v>
      </c>
      <c r="AM15" s="20" t="str">
        <f t="shared" si="7"/>
        <v>Normal</v>
      </c>
      <c r="AN15" s="20" t="str">
        <f t="shared" si="8"/>
        <v>Normal</v>
      </c>
      <c r="AO15" s="20" t="str">
        <f t="shared" si="9"/>
        <v>Normal</v>
      </c>
      <c r="AP15" s="20">
        <f t="shared" si="12"/>
        <v>8</v>
      </c>
      <c r="AQ15" s="20" t="str">
        <f t="shared" si="13"/>
        <v>Normal</v>
      </c>
    </row>
    <row r="16" spans="1:43" x14ac:dyDescent="0.3">
      <c r="A16" s="19" t="str">
        <f>Responses!A16</f>
        <v>zEykaz1</v>
      </c>
      <c r="B16" s="19" t="str">
        <f>Responses!B16</f>
        <v>kd0Lppo</v>
      </c>
      <c r="C16" s="19">
        <f>Responses!C16</f>
        <v>46136.093738425923</v>
      </c>
      <c r="D16" s="19" t="str">
        <f>Responses!D16</f>
        <v>Naila Kintan Azizti</v>
      </c>
      <c r="E16" s="19" t="str">
        <f>Responses!E16</f>
        <v>XI-1</v>
      </c>
      <c r="F16" s="19">
        <f>Responses!F16</f>
        <v>17</v>
      </c>
      <c r="G16" s="8">
        <f>IF(Responses!G16="","",IF(Responses!G16="Benar",2,IF(Responses!G16="Agak Benar",1,0)))</f>
        <v>2</v>
      </c>
      <c r="H16" s="8">
        <f>IF(Responses!H16="","",IF(Responses!H16="Benar",2,IF(Responses!H16="Agak Benar",1,0)))</f>
        <v>2</v>
      </c>
      <c r="I16" s="8">
        <f>IF(Responses!I16="","",IF(Responses!I16="Benar",2,IF(Responses!I16="Agak Benar",1,0)))</f>
        <v>1</v>
      </c>
      <c r="J16" s="8">
        <f>IF(Responses!J16="","",IF(Responses!J16="Benar",2,IF(Responses!J16="Agak Benar",1,0)))</f>
        <v>2</v>
      </c>
      <c r="K16" s="8">
        <f>IF(Responses!K16="","",IF(Responses!K16="Benar",2,IF(Responses!K16="Agak Benar",1,0)))</f>
        <v>0</v>
      </c>
      <c r="L16" s="8">
        <f>IF(Responses!L16="","",IF(Responses!L16="Benar",2,IF(Responses!L16="Agak Benar",1,0)))</f>
        <v>0</v>
      </c>
      <c r="M16" s="8">
        <f>IF(Responses!M16="","",IF(Responses!M16="Tidak Benar",2,IF(Responses!M16="Agak Benar",1,0)))</f>
        <v>2</v>
      </c>
      <c r="N16" s="8">
        <f>IF(Responses!N16="","",IF(Responses!N16="Benar",2,IF(Responses!N16="Agak Benar",1,0)))</f>
        <v>1</v>
      </c>
      <c r="O16" s="8">
        <f>IF(Responses!O16="","",IF(Responses!O16="Benar",2,IF(Responses!O16="Agak Benar",1,0)))</f>
        <v>2</v>
      </c>
      <c r="P16" s="8">
        <f>IF(Responses!P16="","",IF(Responses!P16="Benar",2,IF(Responses!P16="Agak Benar",1,0)))</f>
        <v>1</v>
      </c>
      <c r="Q16" s="8">
        <f>IF(Responses!Q16="","",IF(Responses!Q16="Tidak Benar",2,IF(Responses!Q16="Agak Benar",1,0)))</f>
        <v>0</v>
      </c>
      <c r="R16" s="8">
        <f>IF(Responses!R16="","",IF(Responses!R16="Benar",2,IF(Responses!R16="Agak Benar",1,0)))</f>
        <v>0</v>
      </c>
      <c r="S16" s="8">
        <f>IF(Responses!S16="","",IF(Responses!S16="Benar",2,IF(Responses!S16="Agak Benar",1,0)))</f>
        <v>1</v>
      </c>
      <c r="T16" s="8">
        <f>IF(Responses!T16="","",IF(Responses!T16="Tidak Benar",2,IF(Responses!T16="Agak Benar",1,0)))</f>
        <v>0</v>
      </c>
      <c r="U16" s="8">
        <f>IF(Responses!U16="","",IF(Responses!U16="Benar",2,IF(Responses!U16="Agak Benar",1,0)))</f>
        <v>1</v>
      </c>
      <c r="V16" s="8">
        <f>IF(Responses!V16="","",IF(Responses!V16="Benar",2,IF(Responses!V16="Agak Benar",1,0)))</f>
        <v>1</v>
      </c>
      <c r="W16" s="8">
        <f>IF(Responses!W16="","",IF(Responses!W16="Benar",2,IF(Responses!W16="Agak Benar",1,0)))</f>
        <v>2</v>
      </c>
      <c r="X16" s="8">
        <f>IF(Responses!X16="","",IF(Responses!X16="Benar",2,IF(Responses!X16="Agak Benar",1,0)))</f>
        <v>0</v>
      </c>
      <c r="Y16" s="8">
        <f>IF(Responses!Y16="","",IF(Responses!Y16="Benar",2,IF(Responses!Y16="Agak Benar",1,0)))</f>
        <v>0</v>
      </c>
      <c r="Z16" s="8">
        <f>IF(Responses!Z16="","",IF(Responses!Z16="Benar",2,IF(Responses!Z16="Agak Benar",1,0)))</f>
        <v>2</v>
      </c>
      <c r="AA16" s="8">
        <f>IF(Responses!AA16="","",IF(Responses!AA16="Tidak Benar",2,IF(Responses!AA16="Agak Benar",1,0)))</f>
        <v>0</v>
      </c>
      <c r="AB16" s="8">
        <f>IF(Responses!AB16="","",IF(Responses!AB16="Benar",2,IF(Responses!AB16="Agak Benar",1,0)))</f>
        <v>0</v>
      </c>
      <c r="AC16" s="8">
        <f>IF(Responses!AC16="","",IF(Responses!AC16="Benar",2,IF(Responses!AC16="Agak Benar",1,0)))</f>
        <v>0</v>
      </c>
      <c r="AD16" s="8">
        <f>IF(Responses!AD16="","",IF(Responses!AD16="Benar",2,IF(Responses!AD16="Agak Benar",1,0)))</f>
        <v>2</v>
      </c>
      <c r="AE16" s="8">
        <f>IF(Responses!AE16="","",IF(Responses!AE16="Tidak Benar",2,IF(Responses!AE16="Agak Benar",1,0)))</f>
        <v>0</v>
      </c>
      <c r="AF16" s="20">
        <f t="shared" si="0"/>
        <v>6</v>
      </c>
      <c r="AG16" s="20">
        <f t="shared" si="1"/>
        <v>2</v>
      </c>
      <c r="AH16" s="20">
        <f t="shared" si="2"/>
        <v>4</v>
      </c>
      <c r="AI16" s="20">
        <f t="shared" si="3"/>
        <v>0</v>
      </c>
      <c r="AJ16" s="20">
        <f t="shared" si="4"/>
        <v>10</v>
      </c>
      <c r="AK16" s="20" t="str">
        <f t="shared" si="5"/>
        <v>Borderline</v>
      </c>
      <c r="AL16" s="20" t="str">
        <f t="shared" si="6"/>
        <v>Normal</v>
      </c>
      <c r="AM16" s="20" t="str">
        <f t="shared" si="7"/>
        <v>Normal</v>
      </c>
      <c r="AN16" s="20" t="str">
        <f t="shared" si="8"/>
        <v>Normal</v>
      </c>
      <c r="AO16" s="20" t="str">
        <f t="shared" si="9"/>
        <v>Normal</v>
      </c>
      <c r="AP16" s="20">
        <f t="shared" si="12"/>
        <v>12</v>
      </c>
      <c r="AQ16" s="20" t="str">
        <f t="shared" si="13"/>
        <v>Normal</v>
      </c>
    </row>
    <row r="17" spans="1:43" x14ac:dyDescent="0.3">
      <c r="A17" s="19" t="str">
        <f>Responses!A17</f>
        <v>rDaexJX</v>
      </c>
      <c r="B17" s="19" t="str">
        <f>Responses!B17</f>
        <v>pb0gMEb</v>
      </c>
      <c r="C17" s="19">
        <f>Responses!C17</f>
        <v>46136.093784722223</v>
      </c>
      <c r="D17" s="19" t="str">
        <f>Responses!D17</f>
        <v>Ale</v>
      </c>
      <c r="E17" s="19" t="str">
        <f>Responses!E17</f>
        <v>XI-1</v>
      </c>
      <c r="F17" s="19">
        <f>Responses!F17</f>
        <v>16</v>
      </c>
      <c r="G17" s="8">
        <f>IF(Responses!G17="","",IF(Responses!G17="Benar",2,IF(Responses!G17="Agak Benar",1,0)))</f>
        <v>1</v>
      </c>
      <c r="H17" s="8">
        <f>IF(Responses!H17="","",IF(Responses!H17="Benar",2,IF(Responses!H17="Agak Benar",1,0)))</f>
        <v>0</v>
      </c>
      <c r="I17" s="8">
        <f>IF(Responses!I17="","",IF(Responses!I17="Benar",2,IF(Responses!I17="Agak Benar",1,0)))</f>
        <v>0</v>
      </c>
      <c r="J17" s="8">
        <f>IF(Responses!J17="","",IF(Responses!J17="Benar",2,IF(Responses!J17="Agak Benar",1,0)))</f>
        <v>2</v>
      </c>
      <c r="K17" s="8">
        <f>IF(Responses!K17="","",IF(Responses!K17="Benar",2,IF(Responses!K17="Agak Benar",1,0)))</f>
        <v>0</v>
      </c>
      <c r="L17" s="8">
        <f>IF(Responses!L17="","",IF(Responses!L17="Benar",2,IF(Responses!L17="Agak Benar",1,0)))</f>
        <v>0</v>
      </c>
      <c r="M17" s="8">
        <f>IF(Responses!M17="","",IF(Responses!M17="Tidak Benar",2,IF(Responses!M17="Agak Benar",1,0)))</f>
        <v>1</v>
      </c>
      <c r="N17" s="8">
        <f>IF(Responses!N17="","",IF(Responses!N17="Benar",2,IF(Responses!N17="Agak Benar",1,0)))</f>
        <v>0</v>
      </c>
      <c r="O17" s="8">
        <f>IF(Responses!O17="","",IF(Responses!O17="Benar",2,IF(Responses!O17="Agak Benar",1,0)))</f>
        <v>1</v>
      </c>
      <c r="P17" s="8">
        <f>IF(Responses!P17="","",IF(Responses!P17="Benar",2,IF(Responses!P17="Agak Benar",1,0)))</f>
        <v>0</v>
      </c>
      <c r="Q17" s="8">
        <f>IF(Responses!Q17="","",IF(Responses!Q17="Tidak Benar",2,IF(Responses!Q17="Agak Benar",1,0)))</f>
        <v>0</v>
      </c>
      <c r="R17" s="8">
        <f>IF(Responses!R17="","",IF(Responses!R17="Benar",2,IF(Responses!R17="Agak Benar",1,0)))</f>
        <v>0</v>
      </c>
      <c r="S17" s="8">
        <f>IF(Responses!S17="","",IF(Responses!S17="Benar",2,IF(Responses!S17="Agak Benar",1,0)))</f>
        <v>0</v>
      </c>
      <c r="T17" s="8">
        <f>IF(Responses!T17="","",IF(Responses!T17="Tidak Benar",2,IF(Responses!T17="Agak Benar",1,0)))</f>
        <v>1</v>
      </c>
      <c r="U17" s="8">
        <f>IF(Responses!U17="","",IF(Responses!U17="Benar",2,IF(Responses!U17="Agak Benar",1,0)))</f>
        <v>0</v>
      </c>
      <c r="V17" s="8">
        <f>IF(Responses!V17="","",IF(Responses!V17="Benar",2,IF(Responses!V17="Agak Benar",1,0)))</f>
        <v>0</v>
      </c>
      <c r="W17" s="8">
        <f>IF(Responses!W17="","",IF(Responses!W17="Benar",2,IF(Responses!W17="Agak Benar",1,0)))</f>
        <v>2</v>
      </c>
      <c r="X17" s="8">
        <f>IF(Responses!X17="","",IF(Responses!X17="Benar",2,IF(Responses!X17="Agak Benar",1,0)))</f>
        <v>0</v>
      </c>
      <c r="Y17" s="8">
        <f>IF(Responses!Y17="","",IF(Responses!Y17="Benar",2,IF(Responses!Y17="Agak Benar",1,0)))</f>
        <v>0</v>
      </c>
      <c r="Z17" s="8">
        <f>IF(Responses!Z17="","",IF(Responses!Z17="Benar",2,IF(Responses!Z17="Agak Benar",1,0)))</f>
        <v>1</v>
      </c>
      <c r="AA17" s="8">
        <f>IF(Responses!AA17="","",IF(Responses!AA17="Tidak Benar",2,IF(Responses!AA17="Agak Benar",1,0)))</f>
        <v>1</v>
      </c>
      <c r="AB17" s="8">
        <f>IF(Responses!AB17="","",IF(Responses!AB17="Benar",2,IF(Responses!AB17="Agak Benar",1,0)))</f>
        <v>0</v>
      </c>
      <c r="AC17" s="8">
        <f>IF(Responses!AC17="","",IF(Responses!AC17="Benar",2,IF(Responses!AC17="Agak Benar",1,0)))</f>
        <v>0</v>
      </c>
      <c r="AD17" s="8">
        <f>IF(Responses!AD17="","",IF(Responses!AD17="Benar",2,IF(Responses!AD17="Agak Benar",1,0)))</f>
        <v>0</v>
      </c>
      <c r="AE17" s="8">
        <f>IF(Responses!AE17="","",IF(Responses!AE17="Tidak Benar",2,IF(Responses!AE17="Agak Benar",1,0)))</f>
        <v>1</v>
      </c>
      <c r="AF17" s="20">
        <f t="shared" si="0"/>
        <v>0</v>
      </c>
      <c r="AG17" s="20">
        <f t="shared" si="1"/>
        <v>1</v>
      </c>
      <c r="AH17" s="20">
        <f t="shared" si="2"/>
        <v>2</v>
      </c>
      <c r="AI17" s="20">
        <f t="shared" si="3"/>
        <v>1</v>
      </c>
      <c r="AJ17" s="20">
        <f t="shared" si="4"/>
        <v>7</v>
      </c>
      <c r="AK17" s="20" t="str">
        <f t="shared" si="5"/>
        <v>Normal</v>
      </c>
      <c r="AL17" s="20" t="str">
        <f t="shared" si="6"/>
        <v>Normal</v>
      </c>
      <c r="AM17" s="20" t="str">
        <f t="shared" si="7"/>
        <v>Normal</v>
      </c>
      <c r="AN17" s="20" t="str">
        <f t="shared" si="8"/>
        <v>Normal</v>
      </c>
      <c r="AO17" s="20" t="str">
        <f t="shared" si="9"/>
        <v>Normal</v>
      </c>
      <c r="AP17" s="20">
        <f t="shared" si="12"/>
        <v>4</v>
      </c>
      <c r="AQ17" s="20" t="str">
        <f t="shared" si="13"/>
        <v>Normal</v>
      </c>
    </row>
    <row r="18" spans="1:43" x14ac:dyDescent="0.3">
      <c r="A18" s="19" t="str">
        <f>Responses!A18</f>
        <v>Yj01LN0</v>
      </c>
      <c r="B18" s="19" t="str">
        <f>Responses!B18</f>
        <v>2Eb2549</v>
      </c>
      <c r="C18" s="19">
        <f>Responses!C18</f>
        <v>46136.093877314823</v>
      </c>
      <c r="D18" s="19" t="str">
        <f>Responses!D18</f>
        <v>Muhammad Ghozi Fakhruddin</v>
      </c>
      <c r="E18" s="19" t="str">
        <f>Responses!E18</f>
        <v>XI-1</v>
      </c>
      <c r="F18" s="19">
        <f>Responses!F18</f>
        <v>16</v>
      </c>
      <c r="G18" s="8">
        <f>IF(Responses!G18="","",IF(Responses!G18="Benar",2,IF(Responses!G18="Agak Benar",1,0)))</f>
        <v>2</v>
      </c>
      <c r="H18" s="8">
        <f>IF(Responses!H18="","",IF(Responses!H18="Benar",2,IF(Responses!H18="Agak Benar",1,0)))</f>
        <v>1</v>
      </c>
      <c r="I18" s="8">
        <f>IF(Responses!I18="","",IF(Responses!I18="Benar",2,IF(Responses!I18="Agak Benar",1,0)))</f>
        <v>1</v>
      </c>
      <c r="J18" s="8">
        <f>IF(Responses!J18="","",IF(Responses!J18="Benar",2,IF(Responses!J18="Agak Benar",1,0)))</f>
        <v>2</v>
      </c>
      <c r="K18" s="8">
        <f>IF(Responses!K18="","",IF(Responses!K18="Benar",2,IF(Responses!K18="Agak Benar",1,0)))</f>
        <v>0</v>
      </c>
      <c r="L18" s="8">
        <f>IF(Responses!L18="","",IF(Responses!L18="Benar",2,IF(Responses!L18="Agak Benar",1,0)))</f>
        <v>1</v>
      </c>
      <c r="M18" s="8">
        <f>IF(Responses!M18="","",IF(Responses!M18="Tidak Benar",2,IF(Responses!M18="Agak Benar",1,0)))</f>
        <v>1</v>
      </c>
      <c r="N18" s="8">
        <f>IF(Responses!N18="","",IF(Responses!N18="Benar",2,IF(Responses!N18="Agak Benar",1,0)))</f>
        <v>1</v>
      </c>
      <c r="O18" s="8">
        <f>IF(Responses!O18="","",IF(Responses!O18="Benar",2,IF(Responses!O18="Agak Benar",1,0)))</f>
        <v>2</v>
      </c>
      <c r="P18" s="8">
        <f>IF(Responses!P18="","",IF(Responses!P18="Benar",2,IF(Responses!P18="Agak Benar",1,0)))</f>
        <v>2</v>
      </c>
      <c r="Q18" s="8">
        <f>IF(Responses!Q18="","",IF(Responses!Q18="Tidak Benar",2,IF(Responses!Q18="Agak Benar",1,0)))</f>
        <v>0</v>
      </c>
      <c r="R18" s="8">
        <f>IF(Responses!R18="","",IF(Responses!R18="Benar",2,IF(Responses!R18="Agak Benar",1,0)))</f>
        <v>0</v>
      </c>
      <c r="S18" s="8">
        <f>IF(Responses!S18="","",IF(Responses!S18="Benar",2,IF(Responses!S18="Agak Benar",1,0)))</f>
        <v>1</v>
      </c>
      <c r="T18" s="8">
        <f>IF(Responses!T18="","",IF(Responses!T18="Tidak Benar",2,IF(Responses!T18="Agak Benar",1,0)))</f>
        <v>0</v>
      </c>
      <c r="U18" s="8">
        <f>IF(Responses!U18="","",IF(Responses!U18="Benar",2,IF(Responses!U18="Agak Benar",1,0)))</f>
        <v>2</v>
      </c>
      <c r="V18" s="8">
        <f>IF(Responses!V18="","",IF(Responses!V18="Benar",2,IF(Responses!V18="Agak Benar",1,0)))</f>
        <v>1</v>
      </c>
      <c r="W18" s="8">
        <f>IF(Responses!W18="","",IF(Responses!W18="Benar",2,IF(Responses!W18="Agak Benar",1,0)))</f>
        <v>2</v>
      </c>
      <c r="X18" s="8">
        <f>IF(Responses!X18="","",IF(Responses!X18="Benar",2,IF(Responses!X18="Agak Benar",1,0)))</f>
        <v>0</v>
      </c>
      <c r="Y18" s="8">
        <f>IF(Responses!Y18="","",IF(Responses!Y18="Benar",2,IF(Responses!Y18="Agak Benar",1,0)))</f>
        <v>0</v>
      </c>
      <c r="Z18" s="8">
        <f>IF(Responses!Z18="","",IF(Responses!Z18="Benar",2,IF(Responses!Z18="Agak Benar",1,0)))</f>
        <v>1</v>
      </c>
      <c r="AA18" s="8">
        <f>IF(Responses!AA18="","",IF(Responses!AA18="Tidak Benar",2,IF(Responses!AA18="Agak Benar",1,0)))</f>
        <v>0</v>
      </c>
      <c r="AB18" s="8">
        <f>IF(Responses!AB18="","",IF(Responses!AB18="Benar",2,IF(Responses!AB18="Agak Benar",1,0)))</f>
        <v>0</v>
      </c>
      <c r="AC18" s="8">
        <f>IF(Responses!AC18="","",IF(Responses!AC18="Benar",2,IF(Responses!AC18="Agak Benar",1,0)))</f>
        <v>0</v>
      </c>
      <c r="AD18" s="8">
        <f>IF(Responses!AD18="","",IF(Responses!AD18="Benar",2,IF(Responses!AD18="Agak Benar",1,0)))</f>
        <v>1</v>
      </c>
      <c r="AE18" s="8">
        <f>IF(Responses!AE18="","",IF(Responses!AE18="Tidak Benar",2,IF(Responses!AE18="Agak Benar",1,0)))</f>
        <v>1</v>
      </c>
      <c r="AF18" s="20">
        <f t="shared" si="0"/>
        <v>5</v>
      </c>
      <c r="AG18" s="20">
        <f t="shared" si="1"/>
        <v>1</v>
      </c>
      <c r="AH18" s="20">
        <f t="shared" si="2"/>
        <v>6</v>
      </c>
      <c r="AI18" s="20">
        <f t="shared" si="3"/>
        <v>1</v>
      </c>
      <c r="AJ18" s="20">
        <f t="shared" si="4"/>
        <v>9</v>
      </c>
      <c r="AK18" s="20" t="str">
        <f t="shared" si="5"/>
        <v>Normal</v>
      </c>
      <c r="AL18" s="20" t="str">
        <f t="shared" si="6"/>
        <v>Normal</v>
      </c>
      <c r="AM18" s="20" t="str">
        <f t="shared" si="7"/>
        <v>Borderline</v>
      </c>
      <c r="AN18" s="20" t="str">
        <f t="shared" si="8"/>
        <v>Normal</v>
      </c>
      <c r="AO18" s="20" t="str">
        <f t="shared" si="9"/>
        <v>Normal</v>
      </c>
      <c r="AP18" s="20">
        <f t="shared" si="12"/>
        <v>13</v>
      </c>
      <c r="AQ18" s="20" t="str">
        <f t="shared" si="13"/>
        <v>Normal</v>
      </c>
    </row>
    <row r="19" spans="1:43" x14ac:dyDescent="0.3">
      <c r="A19" s="19" t="str">
        <f>Responses!A19</f>
        <v>Kp59768</v>
      </c>
      <c r="B19" s="19" t="str">
        <f>Responses!B19</f>
        <v>b52aGzE</v>
      </c>
      <c r="C19" s="19">
        <f>Responses!C19</f>
        <v>46136.093935185178</v>
      </c>
      <c r="D19" s="19" t="str">
        <f>Responses!D19</f>
        <v>Siti Aisha Fakhira</v>
      </c>
      <c r="E19" s="19" t="str">
        <f>Responses!E19</f>
        <v>XI-1</v>
      </c>
      <c r="F19" s="19">
        <f>Responses!F19</f>
        <v>16</v>
      </c>
      <c r="G19" s="8">
        <f>IF(Responses!G19="","",IF(Responses!G19="Benar",2,IF(Responses!G19="Agak Benar",1,0)))</f>
        <v>2</v>
      </c>
      <c r="H19" s="8">
        <f>IF(Responses!H19="","",IF(Responses!H19="Benar",2,IF(Responses!H19="Agak Benar",1,0)))</f>
        <v>1</v>
      </c>
      <c r="I19" s="8">
        <f>IF(Responses!I19="","",IF(Responses!I19="Benar",2,IF(Responses!I19="Agak Benar",1,0)))</f>
        <v>1</v>
      </c>
      <c r="J19" s="8">
        <f>IF(Responses!J19="","",IF(Responses!J19="Benar",2,IF(Responses!J19="Agak Benar",1,0)))</f>
        <v>2</v>
      </c>
      <c r="K19" s="8">
        <f>IF(Responses!K19="","",IF(Responses!K19="Benar",2,IF(Responses!K19="Agak Benar",1,0)))</f>
        <v>1</v>
      </c>
      <c r="L19" s="8">
        <f>IF(Responses!L19="","",IF(Responses!L19="Benar",2,IF(Responses!L19="Agak Benar",1,0)))</f>
        <v>2</v>
      </c>
      <c r="M19" s="8">
        <f>IF(Responses!M19="","",IF(Responses!M19="Tidak Benar",2,IF(Responses!M19="Agak Benar",1,0)))</f>
        <v>2</v>
      </c>
      <c r="N19" s="8">
        <f>IF(Responses!N19="","",IF(Responses!N19="Benar",2,IF(Responses!N19="Agak Benar",1,0)))</f>
        <v>2</v>
      </c>
      <c r="O19" s="8">
        <f>IF(Responses!O19="","",IF(Responses!O19="Benar",2,IF(Responses!O19="Agak Benar",1,0)))</f>
        <v>2</v>
      </c>
      <c r="P19" s="8">
        <f>IF(Responses!P19="","",IF(Responses!P19="Benar",2,IF(Responses!P19="Agak Benar",1,0)))</f>
        <v>2</v>
      </c>
      <c r="Q19" s="8">
        <f>IF(Responses!Q19="","",IF(Responses!Q19="Tidak Benar",2,IF(Responses!Q19="Agak Benar",1,0)))</f>
        <v>0</v>
      </c>
      <c r="R19" s="8">
        <f>IF(Responses!R19="","",IF(Responses!R19="Benar",2,IF(Responses!R19="Agak Benar",1,0)))</f>
        <v>0</v>
      </c>
      <c r="S19" s="8">
        <f>IF(Responses!S19="","",IF(Responses!S19="Benar",2,IF(Responses!S19="Agak Benar",1,0)))</f>
        <v>1</v>
      </c>
      <c r="T19" s="8">
        <f>IF(Responses!T19="","",IF(Responses!T19="Tidak Benar",2,IF(Responses!T19="Agak Benar",1,0)))</f>
        <v>0</v>
      </c>
      <c r="U19" s="8">
        <f>IF(Responses!U19="","",IF(Responses!U19="Benar",2,IF(Responses!U19="Agak Benar",1,0)))</f>
        <v>2</v>
      </c>
      <c r="V19" s="8">
        <f>IF(Responses!V19="","",IF(Responses!V19="Benar",2,IF(Responses!V19="Agak Benar",1,0)))</f>
        <v>2</v>
      </c>
      <c r="W19" s="8">
        <f>IF(Responses!W19="","",IF(Responses!W19="Benar",2,IF(Responses!W19="Agak Benar",1,0)))</f>
        <v>2</v>
      </c>
      <c r="X19" s="8">
        <f>IF(Responses!X19="","",IF(Responses!X19="Benar",2,IF(Responses!X19="Agak Benar",1,0)))</f>
        <v>0</v>
      </c>
      <c r="Y19" s="8">
        <f>IF(Responses!Y19="","",IF(Responses!Y19="Benar",2,IF(Responses!Y19="Agak Benar",1,0)))</f>
        <v>0</v>
      </c>
      <c r="Z19" s="8">
        <f>IF(Responses!Z19="","",IF(Responses!Z19="Benar",2,IF(Responses!Z19="Agak Benar",1,0)))</f>
        <v>2</v>
      </c>
      <c r="AA19" s="8">
        <f>IF(Responses!AA19="","",IF(Responses!AA19="Tidak Benar",2,IF(Responses!AA19="Agak Benar",1,0)))</f>
        <v>0</v>
      </c>
      <c r="AB19" s="8">
        <f>IF(Responses!AB19="","",IF(Responses!AB19="Benar",2,IF(Responses!AB19="Agak Benar",1,0)))</f>
        <v>0</v>
      </c>
      <c r="AC19" s="8">
        <f>IF(Responses!AC19="","",IF(Responses!AC19="Benar",2,IF(Responses!AC19="Agak Benar",1,0)))</f>
        <v>2</v>
      </c>
      <c r="AD19" s="8">
        <f>IF(Responses!AD19="","",IF(Responses!AD19="Benar",2,IF(Responses!AD19="Agak Benar",1,0)))</f>
        <v>1</v>
      </c>
      <c r="AE19" s="8">
        <f>IF(Responses!AE19="","",IF(Responses!AE19="Tidak Benar",2,IF(Responses!AE19="Agak Benar",1,0)))</f>
        <v>1</v>
      </c>
      <c r="AF19" s="20">
        <f t="shared" si="0"/>
        <v>7</v>
      </c>
      <c r="AG19" s="20">
        <f t="shared" si="1"/>
        <v>3</v>
      </c>
      <c r="AH19" s="20">
        <f t="shared" si="2"/>
        <v>6</v>
      </c>
      <c r="AI19" s="20">
        <f t="shared" si="3"/>
        <v>4</v>
      </c>
      <c r="AJ19" s="20">
        <f t="shared" si="4"/>
        <v>10</v>
      </c>
      <c r="AK19" s="20" t="str">
        <f t="shared" si="5"/>
        <v>Abnormal</v>
      </c>
      <c r="AL19" s="20" t="str">
        <f t="shared" si="6"/>
        <v>Normal</v>
      </c>
      <c r="AM19" s="20" t="str">
        <f t="shared" si="7"/>
        <v>Borderline</v>
      </c>
      <c r="AN19" s="20" t="str">
        <f t="shared" si="8"/>
        <v>Borderline</v>
      </c>
      <c r="AO19" s="20" t="str">
        <f t="shared" si="9"/>
        <v>Normal</v>
      </c>
      <c r="AP19" s="20">
        <f t="shared" si="12"/>
        <v>20</v>
      </c>
      <c r="AQ19" s="20" t="str">
        <f t="shared" si="13"/>
        <v>Abnormal</v>
      </c>
    </row>
    <row r="20" spans="1:43" x14ac:dyDescent="0.3">
      <c r="A20" s="19" t="str">
        <f>Responses!A20</f>
        <v>7XLQRXA</v>
      </c>
      <c r="B20" s="19" t="str">
        <f>Responses!B20</f>
        <v>Np4z9LN</v>
      </c>
      <c r="C20" s="19">
        <f>Responses!C20</f>
        <v>46136.094317129631</v>
      </c>
      <c r="D20" s="19" t="str">
        <f>Responses!D20</f>
        <v>Quinsha Asyalinna Darmawan</v>
      </c>
      <c r="E20" s="19" t="str">
        <f>Responses!E20</f>
        <v>XI-1</v>
      </c>
      <c r="F20" s="19">
        <f>Responses!F20</f>
        <v>16</v>
      </c>
      <c r="G20" s="8">
        <f>IF(Responses!G20="","",IF(Responses!G20="Benar",2,IF(Responses!G20="Agak Benar",1,0)))</f>
        <v>2</v>
      </c>
      <c r="H20" s="8">
        <f>IF(Responses!H20="","",IF(Responses!H20="Benar",2,IF(Responses!H20="Agak Benar",1,0)))</f>
        <v>2</v>
      </c>
      <c r="I20" s="8">
        <f>IF(Responses!I20="","",IF(Responses!I20="Benar",2,IF(Responses!I20="Agak Benar",1,0)))</f>
        <v>1</v>
      </c>
      <c r="J20" s="8">
        <f>IF(Responses!J20="","",IF(Responses!J20="Benar",2,IF(Responses!J20="Agak Benar",1,0)))</f>
        <v>2</v>
      </c>
      <c r="K20" s="8">
        <f>IF(Responses!K20="","",IF(Responses!K20="Benar",2,IF(Responses!K20="Agak Benar",1,0)))</f>
        <v>1</v>
      </c>
      <c r="L20" s="8">
        <f>IF(Responses!L20="","",IF(Responses!L20="Benar",2,IF(Responses!L20="Agak Benar",1,0)))</f>
        <v>0</v>
      </c>
      <c r="M20" s="8">
        <f>IF(Responses!M20="","",IF(Responses!M20="Tidak Benar",2,IF(Responses!M20="Agak Benar",1,0)))</f>
        <v>1</v>
      </c>
      <c r="N20" s="8">
        <f>IF(Responses!N20="","",IF(Responses!N20="Benar",2,IF(Responses!N20="Agak Benar",1,0)))</f>
        <v>2</v>
      </c>
      <c r="O20" s="8">
        <f>IF(Responses!O20="","",IF(Responses!O20="Benar",2,IF(Responses!O20="Agak Benar",1,0)))</f>
        <v>2</v>
      </c>
      <c r="P20" s="8">
        <f>IF(Responses!P20="","",IF(Responses!P20="Benar",2,IF(Responses!P20="Agak Benar",1,0)))</f>
        <v>0</v>
      </c>
      <c r="Q20" s="8">
        <f>IF(Responses!Q20="","",IF(Responses!Q20="Tidak Benar",2,IF(Responses!Q20="Agak Benar",1,0)))</f>
        <v>0</v>
      </c>
      <c r="R20" s="8">
        <f>IF(Responses!R20="","",IF(Responses!R20="Benar",2,IF(Responses!R20="Agak Benar",1,0)))</f>
        <v>0</v>
      </c>
      <c r="S20" s="8">
        <f>IF(Responses!S20="","",IF(Responses!S20="Benar",2,IF(Responses!S20="Agak Benar",1,0)))</f>
        <v>0</v>
      </c>
      <c r="T20" s="8">
        <f>IF(Responses!T20="","",IF(Responses!T20="Tidak Benar",2,IF(Responses!T20="Agak Benar",1,0)))</f>
        <v>0</v>
      </c>
      <c r="U20" s="8">
        <f>IF(Responses!U20="","",IF(Responses!U20="Benar",2,IF(Responses!U20="Agak Benar",1,0)))</f>
        <v>1</v>
      </c>
      <c r="V20" s="8">
        <f>IF(Responses!V20="","",IF(Responses!V20="Benar",2,IF(Responses!V20="Agak Benar",1,0)))</f>
        <v>2</v>
      </c>
      <c r="W20" s="8">
        <f>IF(Responses!W20="","",IF(Responses!W20="Benar",2,IF(Responses!W20="Agak Benar",1,0)))</f>
        <v>2</v>
      </c>
      <c r="X20" s="8">
        <f>IF(Responses!X20="","",IF(Responses!X20="Benar",2,IF(Responses!X20="Agak Benar",1,0)))</f>
        <v>0</v>
      </c>
      <c r="Y20" s="8">
        <f>IF(Responses!Y20="","",IF(Responses!Y20="Benar",2,IF(Responses!Y20="Agak Benar",1,0)))</f>
        <v>0</v>
      </c>
      <c r="Z20" s="8">
        <f>IF(Responses!Z20="","",IF(Responses!Z20="Benar",2,IF(Responses!Z20="Agak Benar",1,0)))</f>
        <v>1</v>
      </c>
      <c r="AA20" s="8">
        <f>IF(Responses!AA20="","",IF(Responses!AA20="Tidak Benar",2,IF(Responses!AA20="Agak Benar",1,0)))</f>
        <v>0</v>
      </c>
      <c r="AB20" s="8">
        <f>IF(Responses!AB20="","",IF(Responses!AB20="Benar",2,IF(Responses!AB20="Agak Benar",1,0)))</f>
        <v>0</v>
      </c>
      <c r="AC20" s="8">
        <f>IF(Responses!AC20="","",IF(Responses!AC20="Benar",2,IF(Responses!AC20="Agak Benar",1,0)))</f>
        <v>1</v>
      </c>
      <c r="AD20" s="8">
        <f>IF(Responses!AD20="","",IF(Responses!AD20="Benar",2,IF(Responses!AD20="Agak Benar",1,0)))</f>
        <v>2</v>
      </c>
      <c r="AE20" s="8">
        <f>IF(Responses!AE20="","",IF(Responses!AE20="Tidak Benar",2,IF(Responses!AE20="Agak Benar",1,0)))</f>
        <v>1</v>
      </c>
      <c r="AF20" s="20">
        <f t="shared" si="0"/>
        <v>7</v>
      </c>
      <c r="AG20" s="20">
        <f t="shared" si="1"/>
        <v>2</v>
      </c>
      <c r="AH20" s="20">
        <f t="shared" si="2"/>
        <v>4</v>
      </c>
      <c r="AI20" s="20">
        <f t="shared" si="3"/>
        <v>1</v>
      </c>
      <c r="AJ20" s="20">
        <f t="shared" si="4"/>
        <v>9</v>
      </c>
      <c r="AK20" s="20" t="str">
        <f t="shared" si="5"/>
        <v>Abnormal</v>
      </c>
      <c r="AL20" s="20" t="str">
        <f t="shared" si="6"/>
        <v>Normal</v>
      </c>
      <c r="AM20" s="20" t="str">
        <f t="shared" si="7"/>
        <v>Normal</v>
      </c>
      <c r="AN20" s="20" t="str">
        <f t="shared" si="8"/>
        <v>Normal</v>
      </c>
      <c r="AO20" s="20" t="str">
        <f t="shared" si="9"/>
        <v>Normal</v>
      </c>
      <c r="AP20" s="20">
        <f t="shared" si="12"/>
        <v>14</v>
      </c>
      <c r="AQ20" s="20" t="str">
        <f t="shared" si="13"/>
        <v>Normal</v>
      </c>
    </row>
    <row r="21" spans="1:43" x14ac:dyDescent="0.3">
      <c r="A21" s="19" t="str">
        <f>Responses!A21</f>
        <v>DqkLqGb</v>
      </c>
      <c r="B21" s="19" t="str">
        <f>Responses!B21</f>
        <v>ja0z4Mx</v>
      </c>
      <c r="C21" s="19">
        <f>Responses!C21</f>
        <v>46136.094687500001</v>
      </c>
      <c r="D21" s="19" t="str">
        <f>Responses!D21</f>
        <v>Shakila Ratnaduhita Nitisari</v>
      </c>
      <c r="E21" s="19" t="str">
        <f>Responses!E21</f>
        <v>XI-1</v>
      </c>
      <c r="F21" s="19">
        <f>Responses!F21</f>
        <v>16</v>
      </c>
      <c r="G21" s="8">
        <f>IF(Responses!G21="","",IF(Responses!G21="Benar",2,IF(Responses!G21="Agak Benar",1,0)))</f>
        <v>2</v>
      </c>
      <c r="H21" s="8">
        <f>IF(Responses!H21="","",IF(Responses!H21="Benar",2,IF(Responses!H21="Agak Benar",1,0)))</f>
        <v>2</v>
      </c>
      <c r="I21" s="8">
        <f>IF(Responses!I21="","",IF(Responses!I21="Benar",2,IF(Responses!I21="Agak Benar",1,0)))</f>
        <v>0</v>
      </c>
      <c r="J21" s="8">
        <f>IF(Responses!J21="","",IF(Responses!J21="Benar",2,IF(Responses!J21="Agak Benar",1,0)))</f>
        <v>2</v>
      </c>
      <c r="K21" s="8">
        <f>IF(Responses!K21="","",IF(Responses!K21="Benar",2,IF(Responses!K21="Agak Benar",1,0)))</f>
        <v>0</v>
      </c>
      <c r="L21" s="8">
        <f>IF(Responses!L21="","",IF(Responses!L21="Benar",2,IF(Responses!L21="Agak Benar",1,0)))</f>
        <v>0</v>
      </c>
      <c r="M21" s="8">
        <f>IF(Responses!M21="","",IF(Responses!M21="Tidak Benar",2,IF(Responses!M21="Agak Benar",1,0)))</f>
        <v>2</v>
      </c>
      <c r="N21" s="8">
        <f>IF(Responses!N21="","",IF(Responses!N21="Benar",2,IF(Responses!N21="Agak Benar",1,0)))</f>
        <v>0</v>
      </c>
      <c r="O21" s="8">
        <f>IF(Responses!O21="","",IF(Responses!O21="Benar",2,IF(Responses!O21="Agak Benar",1,0)))</f>
        <v>2</v>
      </c>
      <c r="P21" s="8">
        <f>IF(Responses!P21="","",IF(Responses!P21="Benar",2,IF(Responses!P21="Agak Benar",1,0)))</f>
        <v>0</v>
      </c>
      <c r="Q21" s="8">
        <f>IF(Responses!Q21="","",IF(Responses!Q21="Tidak Benar",2,IF(Responses!Q21="Agak Benar",1,0)))</f>
        <v>0</v>
      </c>
      <c r="R21" s="8">
        <f>IF(Responses!R21="","",IF(Responses!R21="Benar",2,IF(Responses!R21="Agak Benar",1,0)))</f>
        <v>0</v>
      </c>
      <c r="S21" s="8">
        <f>IF(Responses!S21="","",IF(Responses!S21="Benar",2,IF(Responses!S21="Agak Benar",1,0)))</f>
        <v>0</v>
      </c>
      <c r="T21" s="8">
        <f>IF(Responses!T21="","",IF(Responses!T21="Tidak Benar",2,IF(Responses!T21="Agak Benar",1,0)))</f>
        <v>0</v>
      </c>
      <c r="U21" s="8">
        <f>IF(Responses!U21="","",IF(Responses!U21="Benar",2,IF(Responses!U21="Agak Benar",1,0)))</f>
        <v>2</v>
      </c>
      <c r="V21" s="8">
        <f>IF(Responses!V21="","",IF(Responses!V21="Benar",2,IF(Responses!V21="Agak Benar",1,0)))</f>
        <v>0</v>
      </c>
      <c r="W21" s="8">
        <f>IF(Responses!W21="","",IF(Responses!W21="Benar",2,IF(Responses!W21="Agak Benar",1,0)))</f>
        <v>2</v>
      </c>
      <c r="X21" s="8">
        <f>IF(Responses!X21="","",IF(Responses!X21="Benar",2,IF(Responses!X21="Agak Benar",1,0)))</f>
        <v>0</v>
      </c>
      <c r="Y21" s="8">
        <f>IF(Responses!Y21="","",IF(Responses!Y21="Benar",2,IF(Responses!Y21="Agak Benar",1,0)))</f>
        <v>0</v>
      </c>
      <c r="Z21" s="8">
        <f>IF(Responses!Z21="","",IF(Responses!Z21="Benar",2,IF(Responses!Z21="Agak Benar",1,0)))</f>
        <v>2</v>
      </c>
      <c r="AA21" s="8">
        <f>IF(Responses!AA21="","",IF(Responses!AA21="Tidak Benar",2,IF(Responses!AA21="Agak Benar",1,0)))</f>
        <v>0</v>
      </c>
      <c r="AB21" s="8">
        <f>IF(Responses!AB21="","",IF(Responses!AB21="Benar",2,IF(Responses!AB21="Agak Benar",1,0)))</f>
        <v>0</v>
      </c>
      <c r="AC21" s="8">
        <f>IF(Responses!AC21="","",IF(Responses!AC21="Benar",2,IF(Responses!AC21="Agak Benar",1,0)))</f>
        <v>0</v>
      </c>
      <c r="AD21" s="8">
        <f>IF(Responses!AD21="","",IF(Responses!AD21="Benar",2,IF(Responses!AD21="Agak Benar",1,0)))</f>
        <v>0</v>
      </c>
      <c r="AE21" s="8">
        <f>IF(Responses!AE21="","",IF(Responses!AE21="Tidak Benar",2,IF(Responses!AE21="Agak Benar",1,0)))</f>
        <v>2</v>
      </c>
      <c r="AF21" s="20">
        <f t="shared" si="0"/>
        <v>0</v>
      </c>
      <c r="AG21" s="20">
        <f t="shared" si="1"/>
        <v>2</v>
      </c>
      <c r="AH21" s="20">
        <f t="shared" si="2"/>
        <v>6</v>
      </c>
      <c r="AI21" s="20">
        <f t="shared" si="3"/>
        <v>0</v>
      </c>
      <c r="AJ21" s="20">
        <f t="shared" si="4"/>
        <v>10</v>
      </c>
      <c r="AK21" s="20" t="str">
        <f t="shared" si="5"/>
        <v>Normal</v>
      </c>
      <c r="AL21" s="20" t="str">
        <f t="shared" si="6"/>
        <v>Normal</v>
      </c>
      <c r="AM21" s="20" t="str">
        <f t="shared" si="7"/>
        <v>Borderline</v>
      </c>
      <c r="AN21" s="20" t="str">
        <f t="shared" si="8"/>
        <v>Normal</v>
      </c>
      <c r="AO21" s="20" t="str">
        <f t="shared" si="9"/>
        <v>Normal</v>
      </c>
      <c r="AP21" s="20">
        <f t="shared" si="12"/>
        <v>8</v>
      </c>
      <c r="AQ21" s="20" t="str">
        <f t="shared" si="13"/>
        <v>Normal</v>
      </c>
    </row>
    <row r="22" spans="1:43" x14ac:dyDescent="0.3">
      <c r="A22" s="19" t="str">
        <f>Responses!A22</f>
        <v>Ge9MeAj</v>
      </c>
      <c r="B22" s="19" t="str">
        <f>Responses!B22</f>
        <v>LZE8jZz</v>
      </c>
      <c r="C22" s="19">
        <f>Responses!C22</f>
        <v>46136.094687500001</v>
      </c>
      <c r="D22" s="19" t="str">
        <f>Responses!D22</f>
        <v>Fadilah Mustika Nabilla Umar</v>
      </c>
      <c r="E22" s="19" t="str">
        <f>Responses!E22</f>
        <v>XI-2</v>
      </c>
      <c r="F22" s="19">
        <f>Responses!F22</f>
        <v>17</v>
      </c>
      <c r="G22" s="8">
        <f>IF(Responses!G22="","",IF(Responses!G22="Benar",2,IF(Responses!G22="Agak Benar",1,0)))</f>
        <v>2</v>
      </c>
      <c r="H22" s="8">
        <f>IF(Responses!H22="","",IF(Responses!H22="Benar",2,IF(Responses!H22="Agak Benar",1,0)))</f>
        <v>2</v>
      </c>
      <c r="I22" s="8">
        <f>IF(Responses!I22="","",IF(Responses!I22="Benar",2,IF(Responses!I22="Agak Benar",1,0)))</f>
        <v>2</v>
      </c>
      <c r="J22" s="8">
        <f>IF(Responses!J22="","",IF(Responses!J22="Benar",2,IF(Responses!J22="Agak Benar",1,0)))</f>
        <v>2</v>
      </c>
      <c r="K22" s="8">
        <f>IF(Responses!K22="","",IF(Responses!K22="Benar",2,IF(Responses!K22="Agak Benar",1,0)))</f>
        <v>2</v>
      </c>
      <c r="L22" s="8">
        <f>IF(Responses!L22="","",IF(Responses!L22="Benar",2,IF(Responses!L22="Agak Benar",1,0)))</f>
        <v>0</v>
      </c>
      <c r="M22" s="8">
        <f>IF(Responses!M22="","",IF(Responses!M22="Tidak Benar",2,IF(Responses!M22="Agak Benar",1,0)))</f>
        <v>1</v>
      </c>
      <c r="N22" s="8">
        <f>IF(Responses!N22="","",IF(Responses!N22="Benar",2,IF(Responses!N22="Agak Benar",1,0)))</f>
        <v>2</v>
      </c>
      <c r="O22" s="8">
        <f>IF(Responses!O22="","",IF(Responses!O22="Benar",2,IF(Responses!O22="Agak Benar",1,0)))</f>
        <v>2</v>
      </c>
      <c r="P22" s="8">
        <f>IF(Responses!P22="","",IF(Responses!P22="Benar",2,IF(Responses!P22="Agak Benar",1,0)))</f>
        <v>2</v>
      </c>
      <c r="Q22" s="8">
        <f>IF(Responses!Q22="","",IF(Responses!Q22="Tidak Benar",2,IF(Responses!Q22="Agak Benar",1,0)))</f>
        <v>0</v>
      </c>
      <c r="R22" s="8">
        <f>IF(Responses!R22="","",IF(Responses!R22="Benar",2,IF(Responses!R22="Agak Benar",1,0)))</f>
        <v>0</v>
      </c>
      <c r="S22" s="8">
        <f>IF(Responses!S22="","",IF(Responses!S22="Benar",2,IF(Responses!S22="Agak Benar",1,0)))</f>
        <v>1</v>
      </c>
      <c r="T22" s="8">
        <f>IF(Responses!T22="","",IF(Responses!T22="Tidak Benar",2,IF(Responses!T22="Agak Benar",1,0)))</f>
        <v>1</v>
      </c>
      <c r="U22" s="8">
        <f>IF(Responses!U22="","",IF(Responses!U22="Benar",2,IF(Responses!U22="Agak Benar",1,0)))</f>
        <v>0</v>
      </c>
      <c r="V22" s="8">
        <f>IF(Responses!V22="","",IF(Responses!V22="Benar",2,IF(Responses!V22="Agak Benar",1,0)))</f>
        <v>1</v>
      </c>
      <c r="W22" s="8">
        <f>IF(Responses!W22="","",IF(Responses!W22="Benar",2,IF(Responses!W22="Agak Benar",1,0)))</f>
        <v>2</v>
      </c>
      <c r="X22" s="8">
        <f>IF(Responses!X22="","",IF(Responses!X22="Benar",2,IF(Responses!X22="Agak Benar",1,0)))</f>
        <v>2</v>
      </c>
      <c r="Y22" s="8">
        <f>IF(Responses!Y22="","",IF(Responses!Y22="Benar",2,IF(Responses!Y22="Agak Benar",1,0)))</f>
        <v>0</v>
      </c>
      <c r="Z22" s="8">
        <f>IF(Responses!Z22="","",IF(Responses!Z22="Benar",2,IF(Responses!Z22="Agak Benar",1,0)))</f>
        <v>2</v>
      </c>
      <c r="AA22" s="8">
        <f>IF(Responses!AA22="","",IF(Responses!AA22="Tidak Benar",2,IF(Responses!AA22="Agak Benar",1,0)))</f>
        <v>0</v>
      </c>
      <c r="AB22" s="8">
        <f>IF(Responses!AB22="","",IF(Responses!AB22="Benar",2,IF(Responses!AB22="Agak Benar",1,0)))</f>
        <v>0</v>
      </c>
      <c r="AC22" s="8">
        <f>IF(Responses!AC22="","",IF(Responses!AC22="Benar",2,IF(Responses!AC22="Agak Benar",1,0)))</f>
        <v>1</v>
      </c>
      <c r="AD22" s="8">
        <f>IF(Responses!AD22="","",IF(Responses!AD22="Benar",2,IF(Responses!AD22="Agak Benar",1,0)))</f>
        <v>1</v>
      </c>
      <c r="AE22" s="8">
        <f>IF(Responses!AE22="","",IF(Responses!AE22="Tidak Benar",2,IF(Responses!AE22="Agak Benar",1,0)))</f>
        <v>0</v>
      </c>
      <c r="AF22" s="20">
        <f t="shared" si="0"/>
        <v>7</v>
      </c>
      <c r="AG22" s="20">
        <f t="shared" si="1"/>
        <v>5</v>
      </c>
      <c r="AH22" s="20">
        <f t="shared" si="2"/>
        <v>4</v>
      </c>
      <c r="AI22" s="20">
        <f t="shared" si="3"/>
        <v>2</v>
      </c>
      <c r="AJ22" s="20">
        <f t="shared" si="4"/>
        <v>10</v>
      </c>
      <c r="AK22" s="20" t="str">
        <f t="shared" si="5"/>
        <v>Abnormal</v>
      </c>
      <c r="AL22" s="20" t="str">
        <f t="shared" si="6"/>
        <v>Abnormal</v>
      </c>
      <c r="AM22" s="20" t="str">
        <f t="shared" si="7"/>
        <v>Normal</v>
      </c>
      <c r="AN22" s="20" t="str">
        <f t="shared" si="8"/>
        <v>Normal</v>
      </c>
      <c r="AO22" s="20" t="str">
        <f t="shared" si="9"/>
        <v>Normal</v>
      </c>
      <c r="AP22" s="20">
        <f t="shared" si="12"/>
        <v>18</v>
      </c>
      <c r="AQ22" s="20" t="str">
        <f t="shared" si="13"/>
        <v>Borderline</v>
      </c>
    </row>
    <row r="23" spans="1:43" x14ac:dyDescent="0.3">
      <c r="A23" s="19" t="str">
        <f>Responses!A23</f>
        <v>2ja2XbA</v>
      </c>
      <c r="B23" s="19" t="str">
        <f>Responses!B23</f>
        <v>xX0G7gE</v>
      </c>
      <c r="C23" s="19">
        <f>Responses!C23</f>
        <v>46136.094814814824</v>
      </c>
      <c r="D23" s="19" t="str">
        <f>Responses!D23</f>
        <v>Mifta Alifa</v>
      </c>
      <c r="E23" s="19" t="str">
        <f>Responses!E23</f>
        <v>XI-1</v>
      </c>
      <c r="F23" s="19">
        <f>Responses!F23</f>
        <v>17</v>
      </c>
      <c r="G23" s="8">
        <f>IF(Responses!G23="","",IF(Responses!G23="Benar",2,IF(Responses!G23="Agak Benar",1,0)))</f>
        <v>2</v>
      </c>
      <c r="H23" s="8">
        <f>IF(Responses!H23="","",IF(Responses!H23="Benar",2,IF(Responses!H23="Agak Benar",1,0)))</f>
        <v>1</v>
      </c>
      <c r="I23" s="8">
        <f>IF(Responses!I23="","",IF(Responses!I23="Benar",2,IF(Responses!I23="Agak Benar",1,0)))</f>
        <v>2</v>
      </c>
      <c r="J23" s="8">
        <f>IF(Responses!J23="","",IF(Responses!J23="Benar",2,IF(Responses!J23="Agak Benar",1,0)))</f>
        <v>2</v>
      </c>
      <c r="K23" s="8">
        <f>IF(Responses!K23="","",IF(Responses!K23="Benar",2,IF(Responses!K23="Agak Benar",1,0)))</f>
        <v>1</v>
      </c>
      <c r="L23" s="8">
        <f>IF(Responses!L23="","",IF(Responses!L23="Benar",2,IF(Responses!L23="Agak Benar",1,0)))</f>
        <v>0</v>
      </c>
      <c r="M23" s="8">
        <f>IF(Responses!M23="","",IF(Responses!M23="Tidak Benar",2,IF(Responses!M23="Agak Benar",1,0)))</f>
        <v>2</v>
      </c>
      <c r="N23" s="8">
        <f>IF(Responses!N23="","",IF(Responses!N23="Benar",2,IF(Responses!N23="Agak Benar",1,0)))</f>
        <v>2</v>
      </c>
      <c r="O23" s="8">
        <f>IF(Responses!O23="","",IF(Responses!O23="Benar",2,IF(Responses!O23="Agak Benar",1,0)))</f>
        <v>2</v>
      </c>
      <c r="P23" s="8">
        <f>IF(Responses!P23="","",IF(Responses!P23="Benar",2,IF(Responses!P23="Agak Benar",1,0)))</f>
        <v>2</v>
      </c>
      <c r="Q23" s="8">
        <f>IF(Responses!Q23="","",IF(Responses!Q23="Tidak Benar",2,IF(Responses!Q23="Agak Benar",1,0)))</f>
        <v>0</v>
      </c>
      <c r="R23" s="8">
        <f>IF(Responses!R23="","",IF(Responses!R23="Benar",2,IF(Responses!R23="Agak Benar",1,0)))</f>
        <v>1</v>
      </c>
      <c r="S23" s="8">
        <f>IF(Responses!S23="","",IF(Responses!S23="Benar",2,IF(Responses!S23="Agak Benar",1,0)))</f>
        <v>2</v>
      </c>
      <c r="T23" s="8">
        <f>IF(Responses!T23="","",IF(Responses!T23="Tidak Benar",2,IF(Responses!T23="Agak Benar",1,0)))</f>
        <v>1</v>
      </c>
      <c r="U23" s="8">
        <f>IF(Responses!U23="","",IF(Responses!U23="Benar",2,IF(Responses!U23="Agak Benar",1,0)))</f>
        <v>0</v>
      </c>
      <c r="V23" s="8">
        <f>IF(Responses!V23="","",IF(Responses!V23="Benar",2,IF(Responses!V23="Agak Benar",1,0)))</f>
        <v>1</v>
      </c>
      <c r="W23" s="8">
        <f>IF(Responses!W23="","",IF(Responses!W23="Benar",2,IF(Responses!W23="Agak Benar",1,0)))</f>
        <v>2</v>
      </c>
      <c r="X23" s="8">
        <f>IF(Responses!X23="","",IF(Responses!X23="Benar",2,IF(Responses!X23="Agak Benar",1,0)))</f>
        <v>0</v>
      </c>
      <c r="Y23" s="8">
        <f>IF(Responses!Y23="","",IF(Responses!Y23="Benar",2,IF(Responses!Y23="Agak Benar",1,0)))</f>
        <v>0</v>
      </c>
      <c r="Z23" s="8">
        <f>IF(Responses!Z23="","",IF(Responses!Z23="Benar",2,IF(Responses!Z23="Agak Benar",1,0)))</f>
        <v>2</v>
      </c>
      <c r="AA23" s="8">
        <f>IF(Responses!AA23="","",IF(Responses!AA23="Tidak Benar",2,IF(Responses!AA23="Agak Benar",1,0)))</f>
        <v>0</v>
      </c>
      <c r="AB23" s="8">
        <f>IF(Responses!AB23="","",IF(Responses!AB23="Benar",2,IF(Responses!AB23="Agak Benar",1,0)))</f>
        <v>0</v>
      </c>
      <c r="AC23" s="8">
        <f>IF(Responses!AC23="","",IF(Responses!AC23="Benar",2,IF(Responses!AC23="Agak Benar",1,0)))</f>
        <v>2</v>
      </c>
      <c r="AD23" s="8">
        <f>IF(Responses!AD23="","",IF(Responses!AD23="Benar",2,IF(Responses!AD23="Agak Benar",1,0)))</f>
        <v>1</v>
      </c>
      <c r="AE23" s="8">
        <f>IF(Responses!AE23="","",IF(Responses!AE23="Tidak Benar",2,IF(Responses!AE23="Agak Benar",1,0)))</f>
        <v>0</v>
      </c>
      <c r="AF23" s="20">
        <f t="shared" si="0"/>
        <v>8</v>
      </c>
      <c r="AG23" s="20">
        <f t="shared" si="1"/>
        <v>4</v>
      </c>
      <c r="AH23" s="20">
        <f t="shared" si="2"/>
        <v>3</v>
      </c>
      <c r="AI23" s="20">
        <f t="shared" si="3"/>
        <v>3</v>
      </c>
      <c r="AJ23" s="20">
        <f t="shared" si="4"/>
        <v>10</v>
      </c>
      <c r="AK23" s="20" t="str">
        <f t="shared" si="5"/>
        <v>Abnormal</v>
      </c>
      <c r="AL23" s="20" t="str">
        <f t="shared" si="6"/>
        <v>Borderline</v>
      </c>
      <c r="AM23" s="20" t="str">
        <f t="shared" si="7"/>
        <v>Normal</v>
      </c>
      <c r="AN23" s="20" t="str">
        <f t="shared" si="8"/>
        <v>Normal</v>
      </c>
      <c r="AO23" s="20" t="str">
        <f t="shared" si="9"/>
        <v>Normal</v>
      </c>
      <c r="AP23" s="20">
        <f t="shared" si="12"/>
        <v>18</v>
      </c>
      <c r="AQ23" s="20" t="str">
        <f t="shared" si="13"/>
        <v>Borderline</v>
      </c>
    </row>
    <row r="24" spans="1:43" x14ac:dyDescent="0.3">
      <c r="A24" s="19" t="str">
        <f>Responses!A24</f>
        <v>Ar2kzxk</v>
      </c>
      <c r="B24" s="19" t="str">
        <f>Responses!B24</f>
        <v>WOe461Q</v>
      </c>
      <c r="C24" s="19">
        <f>Responses!C24</f>
        <v>46136.09480324074</v>
      </c>
      <c r="D24" s="19" t="str">
        <f>Responses!D24</f>
        <v>KHANSA AURELIA BIAS KAMILA</v>
      </c>
      <c r="E24" s="19" t="str">
        <f>Responses!E24</f>
        <v>XI-1</v>
      </c>
      <c r="F24" s="19">
        <f>Responses!F24</f>
        <v>17</v>
      </c>
      <c r="G24" s="8">
        <f>IF(Responses!G24="","",IF(Responses!G24="Benar",2,IF(Responses!G24="Agak Benar",1,0)))</f>
        <v>2</v>
      </c>
      <c r="H24" s="8">
        <f>IF(Responses!H24="","",IF(Responses!H24="Benar",2,IF(Responses!H24="Agak Benar",1,0)))</f>
        <v>1</v>
      </c>
      <c r="I24" s="8">
        <f>IF(Responses!I24="","",IF(Responses!I24="Benar",2,IF(Responses!I24="Agak Benar",1,0)))</f>
        <v>2</v>
      </c>
      <c r="J24" s="8">
        <f>IF(Responses!J24="","",IF(Responses!J24="Benar",2,IF(Responses!J24="Agak Benar",1,0)))</f>
        <v>1</v>
      </c>
      <c r="K24" s="8">
        <f>IF(Responses!K24="","",IF(Responses!K24="Benar",2,IF(Responses!K24="Agak Benar",1,0)))</f>
        <v>1</v>
      </c>
      <c r="L24" s="8">
        <f>IF(Responses!L24="","",IF(Responses!L24="Benar",2,IF(Responses!L24="Agak Benar",1,0)))</f>
        <v>0</v>
      </c>
      <c r="M24" s="8">
        <f>IF(Responses!M24="","",IF(Responses!M24="Tidak Benar",2,IF(Responses!M24="Agak Benar",1,0)))</f>
        <v>0</v>
      </c>
      <c r="N24" s="8">
        <f>IF(Responses!N24="","",IF(Responses!N24="Benar",2,IF(Responses!N24="Agak Benar",1,0)))</f>
        <v>2</v>
      </c>
      <c r="O24" s="8">
        <f>IF(Responses!O24="","",IF(Responses!O24="Benar",2,IF(Responses!O24="Agak Benar",1,0)))</f>
        <v>1</v>
      </c>
      <c r="P24" s="8">
        <f>IF(Responses!P24="","",IF(Responses!P24="Benar",2,IF(Responses!P24="Agak Benar",1,0)))</f>
        <v>1</v>
      </c>
      <c r="Q24" s="8">
        <f>IF(Responses!Q24="","",IF(Responses!Q24="Tidak Benar",2,IF(Responses!Q24="Agak Benar",1,0)))</f>
        <v>1</v>
      </c>
      <c r="R24" s="8">
        <f>IF(Responses!R24="","",IF(Responses!R24="Benar",2,IF(Responses!R24="Agak Benar",1,0)))</f>
        <v>0</v>
      </c>
      <c r="S24" s="8">
        <f>IF(Responses!S24="","",IF(Responses!S24="Benar",2,IF(Responses!S24="Agak Benar",1,0)))</f>
        <v>2</v>
      </c>
      <c r="T24" s="8">
        <f>IF(Responses!T24="","",IF(Responses!T24="Tidak Benar",2,IF(Responses!T24="Agak Benar",1,0)))</f>
        <v>1</v>
      </c>
      <c r="U24" s="8">
        <f>IF(Responses!U24="","",IF(Responses!U24="Benar",2,IF(Responses!U24="Agak Benar",1,0)))</f>
        <v>2</v>
      </c>
      <c r="V24" s="8">
        <f>IF(Responses!V24="","",IF(Responses!V24="Benar",2,IF(Responses!V24="Agak Benar",1,0)))</f>
        <v>2</v>
      </c>
      <c r="W24" s="8">
        <f>IF(Responses!W24="","",IF(Responses!W24="Benar",2,IF(Responses!W24="Agak Benar",1,0)))</f>
        <v>1</v>
      </c>
      <c r="X24" s="8">
        <f>IF(Responses!X24="","",IF(Responses!X24="Benar",2,IF(Responses!X24="Agak Benar",1,0)))</f>
        <v>0</v>
      </c>
      <c r="Y24" s="8">
        <f>IF(Responses!Y24="","",IF(Responses!Y24="Benar",2,IF(Responses!Y24="Agak Benar",1,0)))</f>
        <v>2</v>
      </c>
      <c r="Z24" s="8">
        <f>IF(Responses!Z24="","",IF(Responses!Z24="Benar",2,IF(Responses!Z24="Agak Benar",1,0)))</f>
        <v>2</v>
      </c>
      <c r="AA24" s="8">
        <f>IF(Responses!AA24="","",IF(Responses!AA24="Tidak Benar",2,IF(Responses!AA24="Agak Benar",1,0)))</f>
        <v>1</v>
      </c>
      <c r="AB24" s="8">
        <f>IF(Responses!AB24="","",IF(Responses!AB24="Benar",2,IF(Responses!AB24="Agak Benar",1,0)))</f>
        <v>0</v>
      </c>
      <c r="AC24" s="8">
        <f>IF(Responses!AC24="","",IF(Responses!AC24="Benar",2,IF(Responses!AC24="Agak Benar",1,0)))</f>
        <v>0</v>
      </c>
      <c r="AD24" s="8">
        <f>IF(Responses!AD24="","",IF(Responses!AD24="Benar",2,IF(Responses!AD24="Agak Benar",1,0)))</f>
        <v>2</v>
      </c>
      <c r="AE24" s="8">
        <f>IF(Responses!AE24="","",IF(Responses!AE24="Tidak Benar",2,IF(Responses!AE24="Agak Benar",1,0)))</f>
        <v>0</v>
      </c>
      <c r="AF24" s="20">
        <f t="shared" si="0"/>
        <v>10</v>
      </c>
      <c r="AG24" s="20">
        <f t="shared" si="1"/>
        <v>1</v>
      </c>
      <c r="AH24" s="20">
        <f t="shared" si="2"/>
        <v>5</v>
      </c>
      <c r="AI24" s="20">
        <f t="shared" si="3"/>
        <v>4</v>
      </c>
      <c r="AJ24" s="20">
        <f t="shared" si="4"/>
        <v>7</v>
      </c>
      <c r="AK24" s="20" t="str">
        <f t="shared" si="5"/>
        <v>Abnormal</v>
      </c>
      <c r="AL24" s="20" t="str">
        <f t="shared" si="6"/>
        <v>Normal</v>
      </c>
      <c r="AM24" s="20" t="str">
        <f t="shared" si="7"/>
        <v>Normal</v>
      </c>
      <c r="AN24" s="20" t="str">
        <f t="shared" si="8"/>
        <v>Borderline</v>
      </c>
      <c r="AO24" s="20" t="str">
        <f t="shared" si="9"/>
        <v>Normal</v>
      </c>
      <c r="AP24" s="20">
        <f t="shared" si="12"/>
        <v>20</v>
      </c>
      <c r="AQ24" s="20" t="str">
        <f t="shared" si="13"/>
        <v>Abnormal</v>
      </c>
    </row>
    <row r="25" spans="1:43" x14ac:dyDescent="0.3">
      <c r="A25" s="19" t="str">
        <f>Responses!A25</f>
        <v>Ar2kz0y</v>
      </c>
      <c r="B25" s="19" t="str">
        <f>Responses!B25</f>
        <v>9q6eYjV</v>
      </c>
      <c r="C25" s="19">
        <f>Responses!C25</f>
        <v>46136.094861111109</v>
      </c>
      <c r="D25" s="19" t="str">
        <f>Responses!D25</f>
        <v>Puput Mozza Kirana</v>
      </c>
      <c r="E25" s="19" t="str">
        <f>Responses!E25</f>
        <v>XI-1</v>
      </c>
      <c r="F25" s="19">
        <f>Responses!F25</f>
        <v>17</v>
      </c>
      <c r="G25" s="8">
        <f>IF(Responses!G25="","",IF(Responses!G25="Benar",2,IF(Responses!G25="Agak Benar",1,0)))</f>
        <v>2</v>
      </c>
      <c r="H25" s="8">
        <f>IF(Responses!H25="","",IF(Responses!H25="Benar",2,IF(Responses!H25="Agak Benar",1,0)))</f>
        <v>1</v>
      </c>
      <c r="I25" s="8">
        <f>IF(Responses!I25="","",IF(Responses!I25="Benar",2,IF(Responses!I25="Agak Benar",1,0)))</f>
        <v>0</v>
      </c>
      <c r="J25" s="8">
        <f>IF(Responses!J25="","",IF(Responses!J25="Benar",2,IF(Responses!J25="Agak Benar",1,0)))</f>
        <v>2</v>
      </c>
      <c r="K25" s="8">
        <f>IF(Responses!K25="","",IF(Responses!K25="Benar",2,IF(Responses!K25="Agak Benar",1,0)))</f>
        <v>0</v>
      </c>
      <c r="L25" s="8">
        <f>IF(Responses!L25="","",IF(Responses!L25="Benar",2,IF(Responses!L25="Agak Benar",1,0)))</f>
        <v>0</v>
      </c>
      <c r="M25" s="8">
        <f>IF(Responses!M25="","",IF(Responses!M25="Tidak Benar",2,IF(Responses!M25="Agak Benar",1,0)))</f>
        <v>2</v>
      </c>
      <c r="N25" s="8">
        <f>IF(Responses!N25="","",IF(Responses!N25="Benar",2,IF(Responses!N25="Agak Benar",1,0)))</f>
        <v>1</v>
      </c>
      <c r="O25" s="8">
        <f>IF(Responses!O25="","",IF(Responses!O25="Benar",2,IF(Responses!O25="Agak Benar",1,0)))</f>
        <v>2</v>
      </c>
      <c r="P25" s="8">
        <f>IF(Responses!P25="","",IF(Responses!P25="Benar",2,IF(Responses!P25="Agak Benar",1,0)))</f>
        <v>2</v>
      </c>
      <c r="Q25" s="8">
        <f>IF(Responses!Q25="","",IF(Responses!Q25="Tidak Benar",2,IF(Responses!Q25="Agak Benar",1,0)))</f>
        <v>0</v>
      </c>
      <c r="R25" s="8">
        <f>IF(Responses!R25="","",IF(Responses!R25="Benar",2,IF(Responses!R25="Agak Benar",1,0)))</f>
        <v>0</v>
      </c>
      <c r="S25" s="8">
        <f>IF(Responses!S25="","",IF(Responses!S25="Benar",2,IF(Responses!S25="Agak Benar",1,0)))</f>
        <v>1</v>
      </c>
      <c r="T25" s="8">
        <f>IF(Responses!T25="","",IF(Responses!T25="Tidak Benar",2,IF(Responses!T25="Agak Benar",1,0)))</f>
        <v>1</v>
      </c>
      <c r="U25" s="8">
        <f>IF(Responses!U25="","",IF(Responses!U25="Benar",2,IF(Responses!U25="Agak Benar",1,0)))</f>
        <v>1</v>
      </c>
      <c r="V25" s="8">
        <f>IF(Responses!V25="","",IF(Responses!V25="Benar",2,IF(Responses!V25="Agak Benar",1,0)))</f>
        <v>1</v>
      </c>
      <c r="W25" s="8">
        <f>IF(Responses!W25="","",IF(Responses!W25="Benar",2,IF(Responses!W25="Agak Benar",1,0)))</f>
        <v>2</v>
      </c>
      <c r="X25" s="8">
        <f>IF(Responses!X25="","",IF(Responses!X25="Benar",2,IF(Responses!X25="Agak Benar",1,0)))</f>
        <v>0</v>
      </c>
      <c r="Y25" s="8">
        <f>IF(Responses!Y25="","",IF(Responses!Y25="Benar",2,IF(Responses!Y25="Agak Benar",1,0)))</f>
        <v>0</v>
      </c>
      <c r="Z25" s="8">
        <f>IF(Responses!Z25="","",IF(Responses!Z25="Benar",2,IF(Responses!Z25="Agak Benar",1,0)))</f>
        <v>2</v>
      </c>
      <c r="AA25" s="8">
        <f>IF(Responses!AA25="","",IF(Responses!AA25="Tidak Benar",2,IF(Responses!AA25="Agak Benar",1,0)))</f>
        <v>1</v>
      </c>
      <c r="AB25" s="8">
        <f>IF(Responses!AB25="","",IF(Responses!AB25="Benar",2,IF(Responses!AB25="Agak Benar",1,0)))</f>
        <v>0</v>
      </c>
      <c r="AC25" s="8">
        <f>IF(Responses!AC25="","",IF(Responses!AC25="Benar",2,IF(Responses!AC25="Agak Benar",1,0)))</f>
        <v>0</v>
      </c>
      <c r="AD25" s="8">
        <f>IF(Responses!AD25="","",IF(Responses!AD25="Benar",2,IF(Responses!AD25="Agak Benar",1,0)))</f>
        <v>0</v>
      </c>
      <c r="AE25" s="8">
        <f>IF(Responses!AE25="","",IF(Responses!AE25="Tidak Benar",2,IF(Responses!AE25="Agak Benar",1,0)))</f>
        <v>1</v>
      </c>
      <c r="AF25" s="20">
        <f t="shared" si="0"/>
        <v>3</v>
      </c>
      <c r="AG25" s="20">
        <f t="shared" si="1"/>
        <v>2</v>
      </c>
      <c r="AH25" s="20">
        <f t="shared" si="2"/>
        <v>6</v>
      </c>
      <c r="AI25" s="20">
        <f t="shared" si="3"/>
        <v>1</v>
      </c>
      <c r="AJ25" s="20">
        <f t="shared" si="4"/>
        <v>10</v>
      </c>
      <c r="AK25" s="20" t="str">
        <f t="shared" si="5"/>
        <v>Normal</v>
      </c>
      <c r="AL25" s="20" t="str">
        <f t="shared" si="6"/>
        <v>Normal</v>
      </c>
      <c r="AM25" s="20" t="str">
        <f t="shared" si="7"/>
        <v>Borderline</v>
      </c>
      <c r="AN25" s="20" t="str">
        <f t="shared" si="8"/>
        <v>Normal</v>
      </c>
      <c r="AO25" s="20" t="str">
        <f t="shared" si="9"/>
        <v>Normal</v>
      </c>
      <c r="AP25" s="20">
        <f t="shared" si="12"/>
        <v>12</v>
      </c>
      <c r="AQ25" s="20" t="str">
        <f t="shared" si="13"/>
        <v>Normal</v>
      </c>
    </row>
    <row r="26" spans="1:43" x14ac:dyDescent="0.3">
      <c r="A26" s="19" t="str">
        <f>Responses!A26</f>
        <v>peygd6y</v>
      </c>
      <c r="B26" s="19" t="str">
        <f>Responses!B26</f>
        <v>VL9r7ej</v>
      </c>
      <c r="C26" s="19">
        <f>Responses!C26</f>
        <v>46136.095081018517</v>
      </c>
      <c r="D26" s="19" t="str">
        <f>Responses!D26</f>
        <v xml:space="preserve">Keyza </v>
      </c>
      <c r="E26" s="19" t="str">
        <f>Responses!E26</f>
        <v>XI-1</v>
      </c>
      <c r="F26" s="19">
        <f>Responses!F26</f>
        <v>17</v>
      </c>
      <c r="G26" s="8">
        <f>IF(Responses!G26="","",IF(Responses!G26="Benar",2,IF(Responses!G26="Agak Benar",1,0)))</f>
        <v>2</v>
      </c>
      <c r="H26" s="8">
        <f>IF(Responses!H26="","",IF(Responses!H26="Benar",2,IF(Responses!H26="Agak Benar",1,0)))</f>
        <v>0</v>
      </c>
      <c r="I26" s="8">
        <f>IF(Responses!I26="","",IF(Responses!I26="Benar",2,IF(Responses!I26="Agak Benar",1,0)))</f>
        <v>0</v>
      </c>
      <c r="J26" s="8">
        <f>IF(Responses!J26="","",IF(Responses!J26="Benar",2,IF(Responses!J26="Agak Benar",1,0)))</f>
        <v>1</v>
      </c>
      <c r="K26" s="8">
        <f>IF(Responses!K26="","",IF(Responses!K26="Benar",2,IF(Responses!K26="Agak Benar",1,0)))</f>
        <v>1</v>
      </c>
      <c r="L26" s="8">
        <f>IF(Responses!L26="","",IF(Responses!L26="Benar",2,IF(Responses!L26="Agak Benar",1,0)))</f>
        <v>0</v>
      </c>
      <c r="M26" s="8">
        <f>IF(Responses!M26="","",IF(Responses!M26="Tidak Benar",2,IF(Responses!M26="Agak Benar",1,0)))</f>
        <v>1</v>
      </c>
      <c r="N26" s="8">
        <f>IF(Responses!N26="","",IF(Responses!N26="Benar",2,IF(Responses!N26="Agak Benar",1,0)))</f>
        <v>1</v>
      </c>
      <c r="O26" s="8">
        <f>IF(Responses!O26="","",IF(Responses!O26="Benar",2,IF(Responses!O26="Agak Benar",1,0)))</f>
        <v>1</v>
      </c>
      <c r="P26" s="8">
        <f>IF(Responses!P26="","",IF(Responses!P26="Benar",2,IF(Responses!P26="Agak Benar",1,0)))</f>
        <v>1</v>
      </c>
      <c r="Q26" s="8">
        <f>IF(Responses!Q26="","",IF(Responses!Q26="Tidak Benar",2,IF(Responses!Q26="Agak Benar",1,0)))</f>
        <v>0</v>
      </c>
      <c r="R26" s="8">
        <f>IF(Responses!R26="","",IF(Responses!R26="Benar",2,IF(Responses!R26="Agak Benar",1,0)))</f>
        <v>0</v>
      </c>
      <c r="S26" s="8">
        <f>IF(Responses!S26="","",IF(Responses!S26="Benar",2,IF(Responses!S26="Agak Benar",1,0)))</f>
        <v>1</v>
      </c>
      <c r="T26" s="8">
        <f>IF(Responses!T26="","",IF(Responses!T26="Tidak Benar",2,IF(Responses!T26="Agak Benar",1,0)))</f>
        <v>1</v>
      </c>
      <c r="U26" s="8">
        <f>IF(Responses!U26="","",IF(Responses!U26="Benar",2,IF(Responses!U26="Agak Benar",1,0)))</f>
        <v>1</v>
      </c>
      <c r="V26" s="8">
        <f>IF(Responses!V26="","",IF(Responses!V26="Benar",2,IF(Responses!V26="Agak Benar",1,0)))</f>
        <v>1</v>
      </c>
      <c r="W26" s="8">
        <f>IF(Responses!W26="","",IF(Responses!W26="Benar",2,IF(Responses!W26="Agak Benar",1,0)))</f>
        <v>2</v>
      </c>
      <c r="X26" s="8">
        <f>IF(Responses!X26="","",IF(Responses!X26="Benar",2,IF(Responses!X26="Agak Benar",1,0)))</f>
        <v>0</v>
      </c>
      <c r="Y26" s="8">
        <f>IF(Responses!Y26="","",IF(Responses!Y26="Benar",2,IF(Responses!Y26="Agak Benar",1,0)))</f>
        <v>0</v>
      </c>
      <c r="Z26" s="8">
        <f>IF(Responses!Z26="","",IF(Responses!Z26="Benar",2,IF(Responses!Z26="Agak Benar",1,0)))</f>
        <v>1</v>
      </c>
      <c r="AA26" s="8">
        <f>IF(Responses!AA26="","",IF(Responses!AA26="Tidak Benar",2,IF(Responses!AA26="Agak Benar",1,0)))</f>
        <v>0</v>
      </c>
      <c r="AB26" s="8">
        <f>IF(Responses!AB26="","",IF(Responses!AB26="Benar",2,IF(Responses!AB26="Agak Benar",1,0)))</f>
        <v>0</v>
      </c>
      <c r="AC26" s="8">
        <f>IF(Responses!AC26="","",IF(Responses!AC26="Benar",2,IF(Responses!AC26="Agak Benar",1,0)))</f>
        <v>1</v>
      </c>
      <c r="AD26" s="8">
        <f>IF(Responses!AD26="","",IF(Responses!AD26="Benar",2,IF(Responses!AD26="Agak Benar",1,0)))</f>
        <v>2</v>
      </c>
      <c r="AE26" s="8">
        <f>IF(Responses!AE26="","",IF(Responses!AE26="Tidak Benar",2,IF(Responses!AE26="Agak Benar",1,0)))</f>
        <v>0</v>
      </c>
      <c r="AF26" s="20">
        <f t="shared" si="0"/>
        <v>5</v>
      </c>
      <c r="AG26" s="20">
        <f t="shared" si="1"/>
        <v>2</v>
      </c>
      <c r="AH26" s="20">
        <f t="shared" si="2"/>
        <v>2</v>
      </c>
      <c r="AI26" s="20">
        <f t="shared" si="3"/>
        <v>2</v>
      </c>
      <c r="AJ26" s="20">
        <f t="shared" si="4"/>
        <v>7</v>
      </c>
      <c r="AK26" s="20" t="str">
        <f t="shared" si="5"/>
        <v>Normal</v>
      </c>
      <c r="AL26" s="20" t="str">
        <f t="shared" si="6"/>
        <v>Normal</v>
      </c>
      <c r="AM26" s="20" t="str">
        <f t="shared" si="7"/>
        <v>Normal</v>
      </c>
      <c r="AN26" s="20" t="str">
        <f t="shared" si="8"/>
        <v>Normal</v>
      </c>
      <c r="AO26" s="20" t="str">
        <f t="shared" si="9"/>
        <v>Normal</v>
      </c>
      <c r="AP26" s="20">
        <f t="shared" si="12"/>
        <v>11</v>
      </c>
      <c r="AQ26" s="20" t="str">
        <f t="shared" si="13"/>
        <v>Normal</v>
      </c>
    </row>
    <row r="27" spans="1:43" x14ac:dyDescent="0.3">
      <c r="A27" s="19" t="str">
        <f>Responses!A27</f>
        <v>aO5We7B</v>
      </c>
      <c r="B27" s="19" t="str">
        <f>Responses!B27</f>
        <v>7RJQ7qA</v>
      </c>
      <c r="C27" s="19">
        <f>Responses!C27</f>
        <v>46136.095138888893</v>
      </c>
      <c r="D27" s="19" t="str">
        <f>Responses!D27</f>
        <v>Syifa Rasendriya Hakim</v>
      </c>
      <c r="E27" s="19" t="str">
        <f>Responses!E27</f>
        <v>XI-1</v>
      </c>
      <c r="F27" s="19">
        <f>Responses!F27</f>
        <v>16</v>
      </c>
      <c r="G27" s="8">
        <f>IF(Responses!G27="","",IF(Responses!G27="Benar",2,IF(Responses!G27="Agak Benar",1,0)))</f>
        <v>2</v>
      </c>
      <c r="H27" s="8">
        <f>IF(Responses!H27="","",IF(Responses!H27="Benar",2,IF(Responses!H27="Agak Benar",1,0)))</f>
        <v>0</v>
      </c>
      <c r="I27" s="8">
        <f>IF(Responses!I27="","",IF(Responses!I27="Benar",2,IF(Responses!I27="Agak Benar",1,0)))</f>
        <v>0</v>
      </c>
      <c r="J27" s="8">
        <f>IF(Responses!J27="","",IF(Responses!J27="Benar",2,IF(Responses!J27="Agak Benar",1,0)))</f>
        <v>2</v>
      </c>
      <c r="K27" s="8">
        <f>IF(Responses!K27="","",IF(Responses!K27="Benar",2,IF(Responses!K27="Agak Benar",1,0)))</f>
        <v>0</v>
      </c>
      <c r="L27" s="8">
        <f>IF(Responses!L27="","",IF(Responses!L27="Benar",2,IF(Responses!L27="Agak Benar",1,0)))</f>
        <v>0</v>
      </c>
      <c r="M27" s="8">
        <f>IF(Responses!M27="","",IF(Responses!M27="Tidak Benar",2,IF(Responses!M27="Agak Benar",1,0)))</f>
        <v>2</v>
      </c>
      <c r="N27" s="8">
        <f>IF(Responses!N27="","",IF(Responses!N27="Benar",2,IF(Responses!N27="Agak Benar",1,0)))</f>
        <v>0</v>
      </c>
      <c r="O27" s="8">
        <f>IF(Responses!O27="","",IF(Responses!O27="Benar",2,IF(Responses!O27="Agak Benar",1,0)))</f>
        <v>2</v>
      </c>
      <c r="P27" s="8">
        <f>IF(Responses!P27="","",IF(Responses!P27="Benar",2,IF(Responses!P27="Agak Benar",1,0)))</f>
        <v>0</v>
      </c>
      <c r="Q27" s="8">
        <f>IF(Responses!Q27="","",IF(Responses!Q27="Tidak Benar",2,IF(Responses!Q27="Agak Benar",1,0)))</f>
        <v>0</v>
      </c>
      <c r="R27" s="8">
        <f>IF(Responses!R27="","",IF(Responses!R27="Benar",2,IF(Responses!R27="Agak Benar",1,0)))</f>
        <v>0</v>
      </c>
      <c r="S27" s="8">
        <f>IF(Responses!S27="","",IF(Responses!S27="Benar",2,IF(Responses!S27="Agak Benar",1,0)))</f>
        <v>0</v>
      </c>
      <c r="T27" s="8">
        <f>IF(Responses!T27="","",IF(Responses!T27="Tidak Benar",2,IF(Responses!T27="Agak Benar",1,0)))</f>
        <v>1</v>
      </c>
      <c r="U27" s="8">
        <f>IF(Responses!U27="","",IF(Responses!U27="Benar",2,IF(Responses!U27="Agak Benar",1,0)))</f>
        <v>1</v>
      </c>
      <c r="V27" s="8">
        <f>IF(Responses!V27="","",IF(Responses!V27="Benar",2,IF(Responses!V27="Agak Benar",1,0)))</f>
        <v>1</v>
      </c>
      <c r="W27" s="8">
        <f>IF(Responses!W27="","",IF(Responses!W27="Benar",2,IF(Responses!W27="Agak Benar",1,0)))</f>
        <v>2</v>
      </c>
      <c r="X27" s="8">
        <f>IF(Responses!X27="","",IF(Responses!X27="Benar",2,IF(Responses!X27="Agak Benar",1,0)))</f>
        <v>0</v>
      </c>
      <c r="Y27" s="8">
        <f>IF(Responses!Y27="","",IF(Responses!Y27="Benar",2,IF(Responses!Y27="Agak Benar",1,0)))</f>
        <v>0</v>
      </c>
      <c r="Z27" s="8">
        <f>IF(Responses!Z27="","",IF(Responses!Z27="Benar",2,IF(Responses!Z27="Agak Benar",1,0)))</f>
        <v>2</v>
      </c>
      <c r="AA27" s="8">
        <f>IF(Responses!AA27="","",IF(Responses!AA27="Tidak Benar",2,IF(Responses!AA27="Agak Benar",1,0)))</f>
        <v>0</v>
      </c>
      <c r="AB27" s="8">
        <f>IF(Responses!AB27="","",IF(Responses!AB27="Benar",2,IF(Responses!AB27="Agak Benar",1,0)))</f>
        <v>0</v>
      </c>
      <c r="AC27" s="8">
        <f>IF(Responses!AC27="","",IF(Responses!AC27="Benar",2,IF(Responses!AC27="Agak Benar",1,0)))</f>
        <v>0</v>
      </c>
      <c r="AD27" s="8">
        <f>IF(Responses!AD27="","",IF(Responses!AD27="Benar",2,IF(Responses!AD27="Agak Benar",1,0)))</f>
        <v>1</v>
      </c>
      <c r="AE27" s="8">
        <f>IF(Responses!AE27="","",IF(Responses!AE27="Tidak Benar",2,IF(Responses!AE27="Agak Benar",1,0)))</f>
        <v>0</v>
      </c>
      <c r="AF27" s="20">
        <f t="shared" si="0"/>
        <v>2</v>
      </c>
      <c r="AG27" s="20">
        <f t="shared" si="1"/>
        <v>2</v>
      </c>
      <c r="AH27" s="20">
        <f t="shared" si="2"/>
        <v>1</v>
      </c>
      <c r="AI27" s="20">
        <f t="shared" si="3"/>
        <v>1</v>
      </c>
      <c r="AJ27" s="20">
        <f t="shared" si="4"/>
        <v>10</v>
      </c>
      <c r="AK27" s="20" t="str">
        <f t="shared" si="5"/>
        <v>Normal</v>
      </c>
      <c r="AL27" s="20" t="str">
        <f t="shared" si="6"/>
        <v>Normal</v>
      </c>
      <c r="AM27" s="20" t="str">
        <f t="shared" si="7"/>
        <v>Normal</v>
      </c>
      <c r="AN27" s="20" t="str">
        <f t="shared" si="8"/>
        <v>Normal</v>
      </c>
      <c r="AO27" s="20" t="str">
        <f t="shared" si="9"/>
        <v>Normal</v>
      </c>
      <c r="AP27" s="20">
        <f t="shared" si="12"/>
        <v>6</v>
      </c>
      <c r="AQ27" s="20" t="str">
        <f t="shared" si="13"/>
        <v>Normal</v>
      </c>
    </row>
    <row r="28" spans="1:43" x14ac:dyDescent="0.3">
      <c r="A28" s="19" t="str">
        <f>Responses!A28</f>
        <v>1Wdj424</v>
      </c>
      <c r="B28" s="19" t="str">
        <f>Responses!B28</f>
        <v>QKxGlO1</v>
      </c>
      <c r="C28" s="19">
        <f>Responses!C28</f>
        <v>46136.095439814817</v>
      </c>
      <c r="D28" s="19" t="str">
        <f>Responses!D28</f>
        <v>Azahra Nabila Revandya</v>
      </c>
      <c r="E28" s="19" t="str">
        <f>Responses!E28</f>
        <v>XI-1</v>
      </c>
      <c r="F28" s="19">
        <f>Responses!F28</f>
        <v>16</v>
      </c>
      <c r="G28" s="8">
        <f>IF(Responses!G28="","",IF(Responses!G28="Benar",2,IF(Responses!G28="Agak Benar",1,0)))</f>
        <v>2</v>
      </c>
      <c r="H28" s="8">
        <f>IF(Responses!H28="","",IF(Responses!H28="Benar",2,IF(Responses!H28="Agak Benar",1,0)))</f>
        <v>1</v>
      </c>
      <c r="I28" s="8">
        <f>IF(Responses!I28="","",IF(Responses!I28="Benar",2,IF(Responses!I28="Agak Benar",1,0)))</f>
        <v>0</v>
      </c>
      <c r="J28" s="8">
        <f>IF(Responses!J28="","",IF(Responses!J28="Benar",2,IF(Responses!J28="Agak Benar",1,0)))</f>
        <v>2</v>
      </c>
      <c r="K28" s="8">
        <f>IF(Responses!K28="","",IF(Responses!K28="Benar",2,IF(Responses!K28="Agak Benar",1,0)))</f>
        <v>0</v>
      </c>
      <c r="L28" s="8">
        <f>IF(Responses!L28="","",IF(Responses!L28="Benar",2,IF(Responses!L28="Agak Benar",1,0)))</f>
        <v>0</v>
      </c>
      <c r="M28" s="8">
        <f>IF(Responses!M28="","",IF(Responses!M28="Tidak Benar",2,IF(Responses!M28="Agak Benar",1,0)))</f>
        <v>1</v>
      </c>
      <c r="N28" s="8">
        <f>IF(Responses!N28="","",IF(Responses!N28="Benar",2,IF(Responses!N28="Agak Benar",1,0)))</f>
        <v>1</v>
      </c>
      <c r="O28" s="8">
        <f>IF(Responses!O28="","",IF(Responses!O28="Benar",2,IF(Responses!O28="Agak Benar",1,0)))</f>
        <v>2</v>
      </c>
      <c r="P28" s="8">
        <f>IF(Responses!P28="","",IF(Responses!P28="Benar",2,IF(Responses!P28="Agak Benar",1,0)))</f>
        <v>1</v>
      </c>
      <c r="Q28" s="8">
        <f>IF(Responses!Q28="","",IF(Responses!Q28="Tidak Benar",2,IF(Responses!Q28="Agak Benar",1,0)))</f>
        <v>0</v>
      </c>
      <c r="R28" s="8">
        <f>IF(Responses!R28="","",IF(Responses!R28="Benar",2,IF(Responses!R28="Agak Benar",1,0)))</f>
        <v>0</v>
      </c>
      <c r="S28" s="8">
        <f>IF(Responses!S28="","",IF(Responses!S28="Benar",2,IF(Responses!S28="Agak Benar",1,0)))</f>
        <v>0</v>
      </c>
      <c r="T28" s="8">
        <f>IF(Responses!T28="","",IF(Responses!T28="Tidak Benar",2,IF(Responses!T28="Agak Benar",1,0)))</f>
        <v>0</v>
      </c>
      <c r="U28" s="8">
        <f>IF(Responses!U28="","",IF(Responses!U28="Benar",2,IF(Responses!U28="Agak Benar",1,0)))</f>
        <v>0</v>
      </c>
      <c r="V28" s="8">
        <f>IF(Responses!V28="","",IF(Responses!V28="Benar",2,IF(Responses!V28="Agak Benar",1,0)))</f>
        <v>1</v>
      </c>
      <c r="W28" s="8">
        <f>IF(Responses!W28="","",IF(Responses!W28="Benar",2,IF(Responses!W28="Agak Benar",1,0)))</f>
        <v>2</v>
      </c>
      <c r="X28" s="8">
        <f>IF(Responses!X28="","",IF(Responses!X28="Benar",2,IF(Responses!X28="Agak Benar",1,0)))</f>
        <v>0</v>
      </c>
      <c r="Y28" s="8">
        <f>IF(Responses!Y28="","",IF(Responses!Y28="Benar",2,IF(Responses!Y28="Agak Benar",1,0)))</f>
        <v>0</v>
      </c>
      <c r="Z28" s="8">
        <f>IF(Responses!Z28="","",IF(Responses!Z28="Benar",2,IF(Responses!Z28="Agak Benar",1,0)))</f>
        <v>2</v>
      </c>
      <c r="AA28" s="8">
        <f>IF(Responses!AA28="","",IF(Responses!AA28="Tidak Benar",2,IF(Responses!AA28="Agak Benar",1,0)))</f>
        <v>0</v>
      </c>
      <c r="AB28" s="8">
        <f>IF(Responses!AB28="","",IF(Responses!AB28="Benar",2,IF(Responses!AB28="Agak Benar",1,0)))</f>
        <v>0</v>
      </c>
      <c r="AC28" s="8">
        <f>IF(Responses!AC28="","",IF(Responses!AC28="Benar",2,IF(Responses!AC28="Agak Benar",1,0)))</f>
        <v>0</v>
      </c>
      <c r="AD28" s="8">
        <f>IF(Responses!AD28="","",IF(Responses!AD28="Benar",2,IF(Responses!AD28="Agak Benar",1,0)))</f>
        <v>1</v>
      </c>
      <c r="AE28" s="8">
        <f>IF(Responses!AE28="","",IF(Responses!AE28="Tidak Benar",2,IF(Responses!AE28="Agak Benar",1,0)))</f>
        <v>0</v>
      </c>
      <c r="AF28" s="20">
        <f t="shared" si="0"/>
        <v>3</v>
      </c>
      <c r="AG28" s="20">
        <f t="shared" si="1"/>
        <v>1</v>
      </c>
      <c r="AH28" s="20">
        <f t="shared" si="2"/>
        <v>2</v>
      </c>
      <c r="AI28" s="20">
        <f t="shared" si="3"/>
        <v>0</v>
      </c>
      <c r="AJ28" s="20">
        <f t="shared" si="4"/>
        <v>10</v>
      </c>
      <c r="AK28" s="20" t="str">
        <f t="shared" si="5"/>
        <v>Normal</v>
      </c>
      <c r="AL28" s="20" t="str">
        <f t="shared" si="6"/>
        <v>Normal</v>
      </c>
      <c r="AM28" s="20" t="str">
        <f t="shared" si="7"/>
        <v>Normal</v>
      </c>
      <c r="AN28" s="20" t="str">
        <f t="shared" si="8"/>
        <v>Normal</v>
      </c>
      <c r="AO28" s="20" t="str">
        <f t="shared" si="9"/>
        <v>Normal</v>
      </c>
      <c r="AP28" s="20">
        <f t="shared" si="12"/>
        <v>6</v>
      </c>
      <c r="AQ28" s="20" t="str">
        <f t="shared" si="13"/>
        <v>Normal</v>
      </c>
    </row>
    <row r="29" spans="1:43" x14ac:dyDescent="0.3">
      <c r="A29" s="19" t="str">
        <f>Responses!A29</f>
        <v>je6KlbJ</v>
      </c>
      <c r="B29" s="19" t="str">
        <f>Responses!B29</f>
        <v>2Eb26P9</v>
      </c>
      <c r="C29" s="19">
        <f>Responses!C29</f>
        <v>46136.095590277779</v>
      </c>
      <c r="D29" s="19" t="str">
        <f>Responses!D29</f>
        <v xml:space="preserve">Adra Alditya </v>
      </c>
      <c r="E29" s="19" t="str">
        <f>Responses!E29</f>
        <v>XI-1</v>
      </c>
      <c r="F29" s="19">
        <f>Responses!F29</f>
        <v>17</v>
      </c>
      <c r="G29" s="8">
        <f>IF(Responses!G29="","",IF(Responses!G29="Benar",2,IF(Responses!G29="Agak Benar",1,0)))</f>
        <v>2</v>
      </c>
      <c r="H29" s="8">
        <f>IF(Responses!H29="","",IF(Responses!H29="Benar",2,IF(Responses!H29="Agak Benar",1,0)))</f>
        <v>2</v>
      </c>
      <c r="I29" s="8">
        <f>IF(Responses!I29="","",IF(Responses!I29="Benar",2,IF(Responses!I29="Agak Benar",1,0)))</f>
        <v>0</v>
      </c>
      <c r="J29" s="8">
        <f>IF(Responses!J29="","",IF(Responses!J29="Benar",2,IF(Responses!J29="Agak Benar",1,0)))</f>
        <v>2</v>
      </c>
      <c r="K29" s="8">
        <f>IF(Responses!K29="","",IF(Responses!K29="Benar",2,IF(Responses!K29="Agak Benar",1,0)))</f>
        <v>0</v>
      </c>
      <c r="L29" s="8">
        <f>IF(Responses!L29="","",IF(Responses!L29="Benar",2,IF(Responses!L29="Agak Benar",1,0)))</f>
        <v>0</v>
      </c>
      <c r="M29" s="8">
        <f>IF(Responses!M29="","",IF(Responses!M29="Tidak Benar",2,IF(Responses!M29="Agak Benar",1,0)))</f>
        <v>1</v>
      </c>
      <c r="N29" s="8">
        <f>IF(Responses!N29="","",IF(Responses!N29="Benar",2,IF(Responses!N29="Agak Benar",1,0)))</f>
        <v>0</v>
      </c>
      <c r="O29" s="8">
        <f>IF(Responses!O29="","",IF(Responses!O29="Benar",2,IF(Responses!O29="Agak Benar",1,0)))</f>
        <v>2</v>
      </c>
      <c r="P29" s="8">
        <f>IF(Responses!P29="","",IF(Responses!P29="Benar",2,IF(Responses!P29="Agak Benar",1,0)))</f>
        <v>1</v>
      </c>
      <c r="Q29" s="8">
        <f>IF(Responses!Q29="","",IF(Responses!Q29="Tidak Benar",2,IF(Responses!Q29="Agak Benar",1,0)))</f>
        <v>0</v>
      </c>
      <c r="R29" s="8">
        <f>IF(Responses!R29="","",IF(Responses!R29="Benar",2,IF(Responses!R29="Agak Benar",1,0)))</f>
        <v>0</v>
      </c>
      <c r="S29" s="8">
        <f>IF(Responses!S29="","",IF(Responses!S29="Benar",2,IF(Responses!S29="Agak Benar",1,0)))</f>
        <v>0</v>
      </c>
      <c r="T29" s="8">
        <f>IF(Responses!T29="","",IF(Responses!T29="Tidak Benar",2,IF(Responses!T29="Agak Benar",1,0)))</f>
        <v>0</v>
      </c>
      <c r="U29" s="8">
        <f>IF(Responses!U29="","",IF(Responses!U29="Benar",2,IF(Responses!U29="Agak Benar",1,0)))</f>
        <v>1</v>
      </c>
      <c r="V29" s="8">
        <f>IF(Responses!V29="","",IF(Responses!V29="Benar",2,IF(Responses!V29="Agak Benar",1,0)))</f>
        <v>0</v>
      </c>
      <c r="W29" s="8">
        <f>IF(Responses!W29="","",IF(Responses!W29="Benar",2,IF(Responses!W29="Agak Benar",1,0)))</f>
        <v>2</v>
      </c>
      <c r="X29" s="8">
        <f>IF(Responses!X29="","",IF(Responses!X29="Benar",2,IF(Responses!X29="Agak Benar",1,0)))</f>
        <v>1</v>
      </c>
      <c r="Y29" s="8">
        <f>IF(Responses!Y29="","",IF(Responses!Y29="Benar",2,IF(Responses!Y29="Agak Benar",1,0)))</f>
        <v>0</v>
      </c>
      <c r="Z29" s="8">
        <f>IF(Responses!Z29="","",IF(Responses!Z29="Benar",2,IF(Responses!Z29="Agak Benar",1,0)))</f>
        <v>2</v>
      </c>
      <c r="AA29" s="8">
        <f>IF(Responses!AA29="","",IF(Responses!AA29="Tidak Benar",2,IF(Responses!AA29="Agak Benar",1,0)))</f>
        <v>0</v>
      </c>
      <c r="AB29" s="8">
        <f>IF(Responses!AB29="","",IF(Responses!AB29="Benar",2,IF(Responses!AB29="Agak Benar",1,0)))</f>
        <v>0</v>
      </c>
      <c r="AC29" s="8">
        <f>IF(Responses!AC29="","",IF(Responses!AC29="Benar",2,IF(Responses!AC29="Agak Benar",1,0)))</f>
        <v>2</v>
      </c>
      <c r="AD29" s="8">
        <f>IF(Responses!AD29="","",IF(Responses!AD29="Benar",2,IF(Responses!AD29="Agak Benar",1,0)))</f>
        <v>0</v>
      </c>
      <c r="AE29" s="8">
        <f>IF(Responses!AE29="","",IF(Responses!AE29="Tidak Benar",2,IF(Responses!AE29="Agak Benar",1,0)))</f>
        <v>0</v>
      </c>
      <c r="AF29" s="20">
        <f t="shared" si="0"/>
        <v>0</v>
      </c>
      <c r="AG29" s="20">
        <f t="shared" si="1"/>
        <v>2</v>
      </c>
      <c r="AH29" s="20">
        <f t="shared" si="2"/>
        <v>4</v>
      </c>
      <c r="AI29" s="20">
        <f t="shared" si="3"/>
        <v>2</v>
      </c>
      <c r="AJ29" s="20">
        <f t="shared" si="4"/>
        <v>10</v>
      </c>
      <c r="AK29" s="20" t="str">
        <f t="shared" si="5"/>
        <v>Normal</v>
      </c>
      <c r="AL29" s="20" t="str">
        <f t="shared" si="6"/>
        <v>Normal</v>
      </c>
      <c r="AM29" s="20" t="str">
        <f t="shared" si="7"/>
        <v>Normal</v>
      </c>
      <c r="AN29" s="20" t="str">
        <f t="shared" si="8"/>
        <v>Normal</v>
      </c>
      <c r="AO29" s="20" t="str">
        <f t="shared" si="9"/>
        <v>Normal</v>
      </c>
      <c r="AP29" s="20">
        <f t="shared" si="12"/>
        <v>8</v>
      </c>
      <c r="AQ29" s="20" t="str">
        <f t="shared" si="13"/>
        <v>Normal</v>
      </c>
    </row>
    <row r="30" spans="1:43" x14ac:dyDescent="0.3">
      <c r="A30" s="19" t="str">
        <f>Responses!A30</f>
        <v>laep6xW</v>
      </c>
      <c r="B30" s="19" t="str">
        <f>Responses!B30</f>
        <v>eqNbXkO</v>
      </c>
      <c r="C30" s="19">
        <f>Responses!C30</f>
        <v>46136.095752314817</v>
      </c>
      <c r="D30" s="19" t="str">
        <f>Responses!D30</f>
        <v>Ghina Aulia Rahma</v>
      </c>
      <c r="E30" s="19" t="str">
        <f>Responses!E30</f>
        <v>XI-1</v>
      </c>
      <c r="F30" s="19">
        <f>Responses!F30</f>
        <v>17</v>
      </c>
      <c r="G30" s="8">
        <f>IF(Responses!G30="","",IF(Responses!G30="Benar",2,IF(Responses!G30="Agak Benar",1,0)))</f>
        <v>2</v>
      </c>
      <c r="H30" s="8">
        <f>IF(Responses!H30="","",IF(Responses!H30="Benar",2,IF(Responses!H30="Agak Benar",1,0)))</f>
        <v>1</v>
      </c>
      <c r="I30" s="8">
        <f>IF(Responses!I30="","",IF(Responses!I30="Benar",2,IF(Responses!I30="Agak Benar",1,0)))</f>
        <v>0</v>
      </c>
      <c r="J30" s="8">
        <f>IF(Responses!J30="","",IF(Responses!J30="Benar",2,IF(Responses!J30="Agak Benar",1,0)))</f>
        <v>2</v>
      </c>
      <c r="K30" s="8">
        <f>IF(Responses!K30="","",IF(Responses!K30="Benar",2,IF(Responses!K30="Agak Benar",1,0)))</f>
        <v>0</v>
      </c>
      <c r="L30" s="8">
        <f>IF(Responses!L30="","",IF(Responses!L30="Benar",2,IF(Responses!L30="Agak Benar",1,0)))</f>
        <v>1</v>
      </c>
      <c r="M30" s="8">
        <f>IF(Responses!M30="","",IF(Responses!M30="Tidak Benar",2,IF(Responses!M30="Agak Benar",1,0)))</f>
        <v>1</v>
      </c>
      <c r="N30" s="8">
        <f>IF(Responses!N30="","",IF(Responses!N30="Benar",2,IF(Responses!N30="Agak Benar",1,0)))</f>
        <v>1</v>
      </c>
      <c r="O30" s="8">
        <f>IF(Responses!O30="","",IF(Responses!O30="Benar",2,IF(Responses!O30="Agak Benar",1,0)))</f>
        <v>2</v>
      </c>
      <c r="P30" s="8">
        <f>IF(Responses!P30="","",IF(Responses!P30="Benar",2,IF(Responses!P30="Agak Benar",1,0)))</f>
        <v>2</v>
      </c>
      <c r="Q30" s="8">
        <f>IF(Responses!Q30="","",IF(Responses!Q30="Tidak Benar",2,IF(Responses!Q30="Agak Benar",1,0)))</f>
        <v>0</v>
      </c>
      <c r="R30" s="8">
        <f>IF(Responses!R30="","",IF(Responses!R30="Benar",2,IF(Responses!R30="Agak Benar",1,0)))</f>
        <v>0</v>
      </c>
      <c r="S30" s="8">
        <f>IF(Responses!S30="","",IF(Responses!S30="Benar",2,IF(Responses!S30="Agak Benar",1,0)))</f>
        <v>0</v>
      </c>
      <c r="T30" s="8">
        <f>IF(Responses!T30="","",IF(Responses!T30="Tidak Benar",2,IF(Responses!T30="Agak Benar",1,0)))</f>
        <v>0</v>
      </c>
      <c r="U30" s="8">
        <f>IF(Responses!U30="","",IF(Responses!U30="Benar",2,IF(Responses!U30="Agak Benar",1,0)))</f>
        <v>2</v>
      </c>
      <c r="V30" s="8">
        <f>IF(Responses!V30="","",IF(Responses!V30="Benar",2,IF(Responses!V30="Agak Benar",1,0)))</f>
        <v>2</v>
      </c>
      <c r="W30" s="8">
        <f>IF(Responses!W30="","",IF(Responses!W30="Benar",2,IF(Responses!W30="Agak Benar",1,0)))</f>
        <v>2</v>
      </c>
      <c r="X30" s="8">
        <f>IF(Responses!X30="","",IF(Responses!X30="Benar",2,IF(Responses!X30="Agak Benar",1,0)))</f>
        <v>0</v>
      </c>
      <c r="Y30" s="8">
        <f>IF(Responses!Y30="","",IF(Responses!Y30="Benar",2,IF(Responses!Y30="Agak Benar",1,0)))</f>
        <v>0</v>
      </c>
      <c r="Z30" s="8">
        <f>IF(Responses!Z30="","",IF(Responses!Z30="Benar",2,IF(Responses!Z30="Agak Benar",1,0)))</f>
        <v>2</v>
      </c>
      <c r="AA30" s="8">
        <f>IF(Responses!AA30="","",IF(Responses!AA30="Tidak Benar",2,IF(Responses!AA30="Agak Benar",1,0)))</f>
        <v>1</v>
      </c>
      <c r="AB30" s="8">
        <f>IF(Responses!AB30="","",IF(Responses!AB30="Benar",2,IF(Responses!AB30="Agak Benar",1,0)))</f>
        <v>0</v>
      </c>
      <c r="AC30" s="8">
        <f>IF(Responses!AC30="","",IF(Responses!AC30="Benar",2,IF(Responses!AC30="Agak Benar",1,0)))</f>
        <v>0</v>
      </c>
      <c r="AD30" s="8">
        <f>IF(Responses!AD30="","",IF(Responses!AD30="Benar",2,IF(Responses!AD30="Agak Benar",1,0)))</f>
        <v>0</v>
      </c>
      <c r="AE30" s="8">
        <f>IF(Responses!AE30="","",IF(Responses!AE30="Tidak Benar",2,IF(Responses!AE30="Agak Benar",1,0)))</f>
        <v>1</v>
      </c>
      <c r="AF30" s="20">
        <f t="shared" si="0"/>
        <v>3</v>
      </c>
      <c r="AG30" s="20">
        <f t="shared" si="1"/>
        <v>1</v>
      </c>
      <c r="AH30" s="20">
        <f t="shared" si="2"/>
        <v>7</v>
      </c>
      <c r="AI30" s="20">
        <f t="shared" si="3"/>
        <v>1</v>
      </c>
      <c r="AJ30" s="20">
        <f t="shared" si="4"/>
        <v>10</v>
      </c>
      <c r="AK30" s="20" t="str">
        <f t="shared" si="5"/>
        <v>Normal</v>
      </c>
      <c r="AL30" s="20" t="str">
        <f t="shared" si="6"/>
        <v>Normal</v>
      </c>
      <c r="AM30" s="20" t="str">
        <f t="shared" si="7"/>
        <v>Abnormal</v>
      </c>
      <c r="AN30" s="20" t="str">
        <f t="shared" si="8"/>
        <v>Normal</v>
      </c>
      <c r="AO30" s="20" t="str">
        <f t="shared" si="9"/>
        <v>Normal</v>
      </c>
      <c r="AP30" s="20">
        <f t="shared" si="12"/>
        <v>12</v>
      </c>
      <c r="AQ30" s="20" t="str">
        <f t="shared" si="13"/>
        <v>Normal</v>
      </c>
    </row>
    <row r="31" spans="1:43" x14ac:dyDescent="0.3">
      <c r="A31" s="19" t="str">
        <f>Responses!A31</f>
        <v>BEdvkX4</v>
      </c>
      <c r="B31" s="19" t="str">
        <f>Responses!B31</f>
        <v>9q6e8dK</v>
      </c>
      <c r="C31" s="19">
        <f>Responses!C31</f>
        <v>46136.096041666657</v>
      </c>
      <c r="D31" s="19" t="str">
        <f>Responses!D31</f>
        <v xml:space="preserve">Siti Nur Fittri Astuti </v>
      </c>
      <c r="E31" s="19" t="str">
        <f>Responses!E31</f>
        <v>XI-1</v>
      </c>
      <c r="F31" s="19">
        <f>Responses!F31</f>
        <v>17</v>
      </c>
      <c r="G31" s="8">
        <f>IF(Responses!G31="","",IF(Responses!G31="Benar",2,IF(Responses!G31="Agak Benar",1,0)))</f>
        <v>2</v>
      </c>
      <c r="H31" s="8">
        <f>IF(Responses!H31="","",IF(Responses!H31="Benar",2,IF(Responses!H31="Agak Benar",1,0)))</f>
        <v>1</v>
      </c>
      <c r="I31" s="8">
        <f>IF(Responses!I31="","",IF(Responses!I31="Benar",2,IF(Responses!I31="Agak Benar",1,0)))</f>
        <v>0</v>
      </c>
      <c r="J31" s="8">
        <f>IF(Responses!J31="","",IF(Responses!J31="Benar",2,IF(Responses!J31="Agak Benar",1,0)))</f>
        <v>2</v>
      </c>
      <c r="K31" s="8">
        <f>IF(Responses!K31="","",IF(Responses!K31="Benar",2,IF(Responses!K31="Agak Benar",1,0)))</f>
        <v>1</v>
      </c>
      <c r="L31" s="8">
        <f>IF(Responses!L31="","",IF(Responses!L31="Benar",2,IF(Responses!L31="Agak Benar",1,0)))</f>
        <v>1</v>
      </c>
      <c r="M31" s="8">
        <f>IF(Responses!M31="","",IF(Responses!M31="Tidak Benar",2,IF(Responses!M31="Agak Benar",1,0)))</f>
        <v>0</v>
      </c>
      <c r="N31" s="8">
        <f>IF(Responses!N31="","",IF(Responses!N31="Benar",2,IF(Responses!N31="Agak Benar",1,0)))</f>
        <v>1</v>
      </c>
      <c r="O31" s="8">
        <f>IF(Responses!O31="","",IF(Responses!O31="Benar",2,IF(Responses!O31="Agak Benar",1,0)))</f>
        <v>2</v>
      </c>
      <c r="P31" s="8">
        <f>IF(Responses!P31="","",IF(Responses!P31="Benar",2,IF(Responses!P31="Agak Benar",1,0)))</f>
        <v>0</v>
      </c>
      <c r="Q31" s="8">
        <f>IF(Responses!Q31="","",IF(Responses!Q31="Tidak Benar",2,IF(Responses!Q31="Agak Benar",1,0)))</f>
        <v>0</v>
      </c>
      <c r="R31" s="8">
        <f>IF(Responses!R31="","",IF(Responses!R31="Benar",2,IF(Responses!R31="Agak Benar",1,0)))</f>
        <v>1</v>
      </c>
      <c r="S31" s="8">
        <f>IF(Responses!S31="","",IF(Responses!S31="Benar",2,IF(Responses!S31="Agak Benar",1,0)))</f>
        <v>1</v>
      </c>
      <c r="T31" s="8">
        <f>IF(Responses!T31="","",IF(Responses!T31="Tidak Benar",2,IF(Responses!T31="Agak Benar",1,0)))</f>
        <v>0</v>
      </c>
      <c r="U31" s="8">
        <f>IF(Responses!U31="","",IF(Responses!U31="Benar",2,IF(Responses!U31="Agak Benar",1,0)))</f>
        <v>1</v>
      </c>
      <c r="V31" s="8">
        <f>IF(Responses!V31="","",IF(Responses!V31="Benar",2,IF(Responses!V31="Agak Benar",1,0)))</f>
        <v>1</v>
      </c>
      <c r="W31" s="8">
        <f>IF(Responses!W31="","",IF(Responses!W31="Benar",2,IF(Responses!W31="Agak Benar",1,0)))</f>
        <v>2</v>
      </c>
      <c r="X31" s="8">
        <f>IF(Responses!X31="","",IF(Responses!X31="Benar",2,IF(Responses!X31="Agak Benar",1,0)))</f>
        <v>0</v>
      </c>
      <c r="Y31" s="8">
        <f>IF(Responses!Y31="","",IF(Responses!Y31="Benar",2,IF(Responses!Y31="Agak Benar",1,0)))</f>
        <v>0</v>
      </c>
      <c r="Z31" s="8">
        <f>IF(Responses!Z31="","",IF(Responses!Z31="Benar",2,IF(Responses!Z31="Agak Benar",1,0)))</f>
        <v>2</v>
      </c>
      <c r="AA31" s="8">
        <f>IF(Responses!AA31="","",IF(Responses!AA31="Tidak Benar",2,IF(Responses!AA31="Agak Benar",1,0)))</f>
        <v>0</v>
      </c>
      <c r="AB31" s="8">
        <f>IF(Responses!AB31="","",IF(Responses!AB31="Benar",2,IF(Responses!AB31="Agak Benar",1,0)))</f>
        <v>0</v>
      </c>
      <c r="AC31" s="8">
        <f>IF(Responses!AC31="","",IF(Responses!AC31="Benar",2,IF(Responses!AC31="Agak Benar",1,0)))</f>
        <v>2</v>
      </c>
      <c r="AD31" s="8">
        <f>IF(Responses!AD31="","",IF(Responses!AD31="Benar",2,IF(Responses!AD31="Agak Benar",1,0)))</f>
        <v>1</v>
      </c>
      <c r="AE31" s="8">
        <f>IF(Responses!AE31="","",IF(Responses!AE31="Tidak Benar",2,IF(Responses!AE31="Agak Benar",1,0)))</f>
        <v>1</v>
      </c>
      <c r="AF31" s="20">
        <f t="shared" si="0"/>
        <v>4</v>
      </c>
      <c r="AG31" s="20">
        <f t="shared" si="1"/>
        <v>2</v>
      </c>
      <c r="AH31" s="20">
        <f t="shared" si="2"/>
        <v>3</v>
      </c>
      <c r="AI31" s="20">
        <f t="shared" si="3"/>
        <v>3</v>
      </c>
      <c r="AJ31" s="20">
        <f t="shared" si="4"/>
        <v>10</v>
      </c>
      <c r="AK31" s="20" t="str">
        <f t="shared" si="5"/>
        <v>Normal</v>
      </c>
      <c r="AL31" s="20" t="str">
        <f t="shared" si="6"/>
        <v>Normal</v>
      </c>
      <c r="AM31" s="20" t="str">
        <f t="shared" si="7"/>
        <v>Normal</v>
      </c>
      <c r="AN31" s="20" t="str">
        <f t="shared" si="8"/>
        <v>Normal</v>
      </c>
      <c r="AO31" s="20" t="str">
        <f t="shared" si="9"/>
        <v>Normal</v>
      </c>
      <c r="AP31" s="20">
        <f t="shared" si="12"/>
        <v>12</v>
      </c>
      <c r="AQ31" s="20" t="str">
        <f t="shared" si="13"/>
        <v>Normal</v>
      </c>
    </row>
    <row r="32" spans="1:43" x14ac:dyDescent="0.3">
      <c r="A32" s="19" t="str">
        <f>Responses!A32</f>
        <v>o9eJMg1</v>
      </c>
      <c r="B32" s="19" t="str">
        <f>Responses!B32</f>
        <v>yP0OBk4</v>
      </c>
      <c r="C32" s="19">
        <f>Responses!C32</f>
        <v>46136.096122685187</v>
      </c>
      <c r="D32" s="19" t="str">
        <f>Responses!D32</f>
        <v>Allena Shafira Putri Novelita</v>
      </c>
      <c r="E32" s="19" t="str">
        <f>Responses!E32</f>
        <v>XI-1</v>
      </c>
      <c r="F32" s="19">
        <f>Responses!F32</f>
        <v>17</v>
      </c>
      <c r="G32" s="8">
        <f>IF(Responses!G32="","",IF(Responses!G32="Benar",2,IF(Responses!G32="Agak Benar",1,0)))</f>
        <v>2</v>
      </c>
      <c r="H32" s="8">
        <f>IF(Responses!H32="","",IF(Responses!H32="Benar",2,IF(Responses!H32="Agak Benar",1,0)))</f>
        <v>2</v>
      </c>
      <c r="I32" s="8">
        <f>IF(Responses!I32="","",IF(Responses!I32="Benar",2,IF(Responses!I32="Agak Benar",1,0)))</f>
        <v>0</v>
      </c>
      <c r="J32" s="8">
        <f>IF(Responses!J32="","",IF(Responses!J32="Benar",2,IF(Responses!J32="Agak Benar",1,0)))</f>
        <v>2</v>
      </c>
      <c r="K32" s="8">
        <f>IF(Responses!K32="","",IF(Responses!K32="Benar",2,IF(Responses!K32="Agak Benar",1,0)))</f>
        <v>0</v>
      </c>
      <c r="L32" s="8">
        <f>IF(Responses!L32="","",IF(Responses!L32="Benar",2,IF(Responses!L32="Agak Benar",1,0)))</f>
        <v>1</v>
      </c>
      <c r="M32" s="8">
        <f>IF(Responses!M32="","",IF(Responses!M32="Tidak Benar",2,IF(Responses!M32="Agak Benar",1,0)))</f>
        <v>2</v>
      </c>
      <c r="N32" s="8">
        <f>IF(Responses!N32="","",IF(Responses!N32="Benar",2,IF(Responses!N32="Agak Benar",1,0)))</f>
        <v>2</v>
      </c>
      <c r="O32" s="8">
        <f>IF(Responses!O32="","",IF(Responses!O32="Benar",2,IF(Responses!O32="Agak Benar",1,0)))</f>
        <v>2</v>
      </c>
      <c r="P32" s="8">
        <f>IF(Responses!P32="","",IF(Responses!P32="Benar",2,IF(Responses!P32="Agak Benar",1,0)))</f>
        <v>2</v>
      </c>
      <c r="Q32" s="8">
        <f>IF(Responses!Q32="","",IF(Responses!Q32="Tidak Benar",2,IF(Responses!Q32="Agak Benar",1,0)))</f>
        <v>0</v>
      </c>
      <c r="R32" s="8">
        <f>IF(Responses!R32="","",IF(Responses!R32="Benar",2,IF(Responses!R32="Agak Benar",1,0)))</f>
        <v>0</v>
      </c>
      <c r="S32" s="8">
        <f>IF(Responses!S32="","",IF(Responses!S32="Benar",2,IF(Responses!S32="Agak Benar",1,0)))</f>
        <v>0</v>
      </c>
      <c r="T32" s="8">
        <f>IF(Responses!T32="","",IF(Responses!T32="Tidak Benar",2,IF(Responses!T32="Agak Benar",1,0)))</f>
        <v>0</v>
      </c>
      <c r="U32" s="8">
        <f>IF(Responses!U32="","",IF(Responses!U32="Benar",2,IF(Responses!U32="Agak Benar",1,0)))</f>
        <v>1</v>
      </c>
      <c r="V32" s="8">
        <f>IF(Responses!V32="","",IF(Responses!V32="Benar",2,IF(Responses!V32="Agak Benar",1,0)))</f>
        <v>1</v>
      </c>
      <c r="W32" s="8">
        <f>IF(Responses!W32="","",IF(Responses!W32="Benar",2,IF(Responses!W32="Agak Benar",1,0)))</f>
        <v>1</v>
      </c>
      <c r="X32" s="8">
        <f>IF(Responses!X32="","",IF(Responses!X32="Benar",2,IF(Responses!X32="Agak Benar",1,0)))</f>
        <v>0</v>
      </c>
      <c r="Y32" s="8">
        <f>IF(Responses!Y32="","",IF(Responses!Y32="Benar",2,IF(Responses!Y32="Agak Benar",1,0)))</f>
        <v>0</v>
      </c>
      <c r="Z32" s="8">
        <f>IF(Responses!Z32="","",IF(Responses!Z32="Benar",2,IF(Responses!Z32="Agak Benar",1,0)))</f>
        <v>2</v>
      </c>
      <c r="AA32" s="8">
        <f>IF(Responses!AA32="","",IF(Responses!AA32="Tidak Benar",2,IF(Responses!AA32="Agak Benar",1,0)))</f>
        <v>0</v>
      </c>
      <c r="AB32" s="8">
        <f>IF(Responses!AB32="","",IF(Responses!AB32="Benar",2,IF(Responses!AB32="Agak Benar",1,0)))</f>
        <v>0</v>
      </c>
      <c r="AC32" s="8">
        <f>IF(Responses!AC32="","",IF(Responses!AC32="Benar",2,IF(Responses!AC32="Agak Benar",1,0)))</f>
        <v>0</v>
      </c>
      <c r="AD32" s="8">
        <f>IF(Responses!AD32="","",IF(Responses!AD32="Benar",2,IF(Responses!AD32="Agak Benar",1,0)))</f>
        <v>1</v>
      </c>
      <c r="AE32" s="8">
        <f>IF(Responses!AE32="","",IF(Responses!AE32="Tidak Benar",2,IF(Responses!AE32="Agak Benar",1,0)))</f>
        <v>1</v>
      </c>
      <c r="AF32" s="20">
        <f t="shared" si="0"/>
        <v>4</v>
      </c>
      <c r="AG32" s="20">
        <f t="shared" si="1"/>
        <v>2</v>
      </c>
      <c r="AH32" s="20">
        <f t="shared" si="2"/>
        <v>6</v>
      </c>
      <c r="AI32" s="20">
        <f t="shared" si="3"/>
        <v>1</v>
      </c>
      <c r="AJ32" s="20">
        <f t="shared" si="4"/>
        <v>9</v>
      </c>
      <c r="AK32" s="20" t="str">
        <f t="shared" si="5"/>
        <v>Normal</v>
      </c>
      <c r="AL32" s="20" t="str">
        <f t="shared" si="6"/>
        <v>Normal</v>
      </c>
      <c r="AM32" s="20" t="str">
        <f t="shared" si="7"/>
        <v>Borderline</v>
      </c>
      <c r="AN32" s="20" t="str">
        <f t="shared" si="8"/>
        <v>Normal</v>
      </c>
      <c r="AO32" s="20" t="str">
        <f t="shared" si="9"/>
        <v>Normal</v>
      </c>
      <c r="AP32" s="20">
        <f t="shared" si="12"/>
        <v>13</v>
      </c>
      <c r="AQ32" s="20" t="str">
        <f t="shared" si="13"/>
        <v>Normal</v>
      </c>
    </row>
    <row r="33" spans="1:43" x14ac:dyDescent="0.3">
      <c r="A33" s="19" t="str">
        <f>Responses!A33</f>
        <v>kbeLyWd</v>
      </c>
      <c r="B33" s="19" t="str">
        <f>Responses!B33</f>
        <v>b52aarE</v>
      </c>
      <c r="C33" s="19">
        <f>Responses!C33</f>
        <v>46136.096273148149</v>
      </c>
      <c r="D33" s="19" t="str">
        <f>Responses!D33</f>
        <v xml:space="preserve">Nismara Zhafira Sahasika </v>
      </c>
      <c r="E33" s="19" t="str">
        <f>Responses!E33</f>
        <v>XI-1</v>
      </c>
      <c r="F33" s="19">
        <f>Responses!F33</f>
        <v>17</v>
      </c>
      <c r="G33" s="8">
        <f>IF(Responses!G33="","",IF(Responses!G33="Benar",2,IF(Responses!G33="Agak Benar",1,0)))</f>
        <v>1</v>
      </c>
      <c r="H33" s="8">
        <f>IF(Responses!H33="","",IF(Responses!H33="Benar",2,IF(Responses!H33="Agak Benar",1,0)))</f>
        <v>1</v>
      </c>
      <c r="I33" s="8">
        <f>IF(Responses!I33="","",IF(Responses!I33="Benar",2,IF(Responses!I33="Agak Benar",1,0)))</f>
        <v>2</v>
      </c>
      <c r="J33" s="8">
        <f>IF(Responses!J33="","",IF(Responses!J33="Benar",2,IF(Responses!J33="Agak Benar",1,0)))</f>
        <v>1</v>
      </c>
      <c r="K33" s="8">
        <f>IF(Responses!K33="","",IF(Responses!K33="Benar",2,IF(Responses!K33="Agak Benar",1,0)))</f>
        <v>1</v>
      </c>
      <c r="L33" s="8">
        <f>IF(Responses!L33="","",IF(Responses!L33="Benar",2,IF(Responses!L33="Agak Benar",1,0)))</f>
        <v>1</v>
      </c>
      <c r="M33" s="8">
        <f>IF(Responses!M33="","",IF(Responses!M33="Tidak Benar",2,IF(Responses!M33="Agak Benar",1,0)))</f>
        <v>2</v>
      </c>
      <c r="N33" s="8">
        <f>IF(Responses!N33="","",IF(Responses!N33="Benar",2,IF(Responses!N33="Agak Benar",1,0)))</f>
        <v>1</v>
      </c>
      <c r="O33" s="8">
        <f>IF(Responses!O33="","",IF(Responses!O33="Benar",2,IF(Responses!O33="Agak Benar",1,0)))</f>
        <v>1</v>
      </c>
      <c r="P33" s="8">
        <f>IF(Responses!P33="","",IF(Responses!P33="Benar",2,IF(Responses!P33="Agak Benar",1,0)))</f>
        <v>2</v>
      </c>
      <c r="Q33" s="8">
        <f>IF(Responses!Q33="","",IF(Responses!Q33="Tidak Benar",2,IF(Responses!Q33="Agak Benar",1,0)))</f>
        <v>0</v>
      </c>
      <c r="R33" s="8">
        <f>IF(Responses!R33="","",IF(Responses!R33="Benar",2,IF(Responses!R33="Agak Benar",1,0)))</f>
        <v>1</v>
      </c>
      <c r="S33" s="8">
        <f>IF(Responses!S33="","",IF(Responses!S33="Benar",2,IF(Responses!S33="Agak Benar",1,0)))</f>
        <v>2</v>
      </c>
      <c r="T33" s="8">
        <f>IF(Responses!T33="","",IF(Responses!T33="Tidak Benar",2,IF(Responses!T33="Agak Benar",1,0)))</f>
        <v>1</v>
      </c>
      <c r="U33" s="8">
        <f>IF(Responses!U33="","",IF(Responses!U33="Benar",2,IF(Responses!U33="Agak Benar",1,0)))</f>
        <v>1</v>
      </c>
      <c r="V33" s="8">
        <f>IF(Responses!V33="","",IF(Responses!V33="Benar",2,IF(Responses!V33="Agak Benar",1,0)))</f>
        <v>1</v>
      </c>
      <c r="W33" s="8">
        <f>IF(Responses!W33="","",IF(Responses!W33="Benar",2,IF(Responses!W33="Agak Benar",1,0)))</f>
        <v>1</v>
      </c>
      <c r="X33" s="8">
        <f>IF(Responses!X33="","",IF(Responses!X33="Benar",2,IF(Responses!X33="Agak Benar",1,0)))</f>
        <v>0</v>
      </c>
      <c r="Y33" s="8">
        <f>IF(Responses!Y33="","",IF(Responses!Y33="Benar",2,IF(Responses!Y33="Agak Benar",1,0)))</f>
        <v>0</v>
      </c>
      <c r="Z33" s="8">
        <f>IF(Responses!Z33="","",IF(Responses!Z33="Benar",2,IF(Responses!Z33="Agak Benar",1,0)))</f>
        <v>2</v>
      </c>
      <c r="AA33" s="8">
        <f>IF(Responses!AA33="","",IF(Responses!AA33="Tidak Benar",2,IF(Responses!AA33="Agak Benar",1,0)))</f>
        <v>1</v>
      </c>
      <c r="AB33" s="8">
        <f>IF(Responses!AB33="","",IF(Responses!AB33="Benar",2,IF(Responses!AB33="Agak Benar",1,0)))</f>
        <v>0</v>
      </c>
      <c r="AC33" s="8">
        <f>IF(Responses!AC33="","",IF(Responses!AC33="Benar",2,IF(Responses!AC33="Agak Benar",1,0)))</f>
        <v>0</v>
      </c>
      <c r="AD33" s="8">
        <f>IF(Responses!AD33="","",IF(Responses!AD33="Benar",2,IF(Responses!AD33="Agak Benar",1,0)))</f>
        <v>1</v>
      </c>
      <c r="AE33" s="8">
        <f>IF(Responses!AE33="","",IF(Responses!AE33="Tidak Benar",2,IF(Responses!AE33="Agak Benar",1,0)))</f>
        <v>0</v>
      </c>
      <c r="AF33" s="20">
        <f t="shared" si="0"/>
        <v>7</v>
      </c>
      <c r="AG33" s="20">
        <f t="shared" si="1"/>
        <v>4</v>
      </c>
      <c r="AH33" s="20">
        <f t="shared" si="2"/>
        <v>5</v>
      </c>
      <c r="AI33" s="20">
        <f t="shared" si="3"/>
        <v>2</v>
      </c>
      <c r="AJ33" s="20">
        <f t="shared" si="4"/>
        <v>6</v>
      </c>
      <c r="AK33" s="20" t="str">
        <f t="shared" si="5"/>
        <v>Abnormal</v>
      </c>
      <c r="AL33" s="20" t="str">
        <f t="shared" si="6"/>
        <v>Borderline</v>
      </c>
      <c r="AM33" s="20" t="str">
        <f t="shared" si="7"/>
        <v>Normal</v>
      </c>
      <c r="AN33" s="20" t="str">
        <f t="shared" si="8"/>
        <v>Normal</v>
      </c>
      <c r="AO33" s="20" t="str">
        <f t="shared" si="9"/>
        <v>Normal</v>
      </c>
      <c r="AP33" s="20">
        <f t="shared" si="12"/>
        <v>18</v>
      </c>
      <c r="AQ33" s="20" t="str">
        <f t="shared" si="13"/>
        <v>Borderline</v>
      </c>
    </row>
    <row r="34" spans="1:43" x14ac:dyDescent="0.3">
      <c r="A34" s="19" t="str">
        <f>Responses!A34</f>
        <v>Ar2kld0</v>
      </c>
      <c r="B34" s="19" t="str">
        <f>Responses!B34</f>
        <v>eqNb46e</v>
      </c>
      <c r="C34" s="19">
        <f>Responses!C34</f>
        <v>46136.096458333333</v>
      </c>
      <c r="D34" s="19" t="str">
        <f>Responses!D34</f>
        <v>Fico Evan Evorius G</v>
      </c>
      <c r="E34" s="19" t="str">
        <f>Responses!E34</f>
        <v>XI-2</v>
      </c>
      <c r="F34" s="19">
        <f>Responses!F34</f>
        <v>17</v>
      </c>
      <c r="G34" s="8">
        <f>IF(Responses!G34="","",IF(Responses!G34="Benar",2,IF(Responses!G34="Agak Benar",1,0)))</f>
        <v>2</v>
      </c>
      <c r="H34" s="8">
        <f>IF(Responses!H34="","",IF(Responses!H34="Benar",2,IF(Responses!H34="Agak Benar",1,0)))</f>
        <v>1</v>
      </c>
      <c r="I34" s="8">
        <f>IF(Responses!I34="","",IF(Responses!I34="Benar",2,IF(Responses!I34="Agak Benar",1,0)))</f>
        <v>1</v>
      </c>
      <c r="J34" s="8">
        <f>IF(Responses!J34="","",IF(Responses!J34="Benar",2,IF(Responses!J34="Agak Benar",1,0)))</f>
        <v>2</v>
      </c>
      <c r="K34" s="8">
        <f>IF(Responses!K34="","",IF(Responses!K34="Benar",2,IF(Responses!K34="Agak Benar",1,0)))</f>
        <v>0</v>
      </c>
      <c r="L34" s="8">
        <f>IF(Responses!L34="","",IF(Responses!L34="Benar",2,IF(Responses!L34="Agak Benar",1,0)))</f>
        <v>2</v>
      </c>
      <c r="M34" s="8">
        <f>IF(Responses!M34="","",IF(Responses!M34="Tidak Benar",2,IF(Responses!M34="Agak Benar",1,0)))</f>
        <v>2</v>
      </c>
      <c r="N34" s="8">
        <f>IF(Responses!N34="","",IF(Responses!N34="Benar",2,IF(Responses!N34="Agak Benar",1,0)))</f>
        <v>0</v>
      </c>
      <c r="O34" s="8">
        <f>IF(Responses!O34="","",IF(Responses!O34="Benar",2,IF(Responses!O34="Agak Benar",1,0)))</f>
        <v>2</v>
      </c>
      <c r="P34" s="8">
        <f>IF(Responses!P34="","",IF(Responses!P34="Benar",2,IF(Responses!P34="Agak Benar",1,0)))</f>
        <v>1</v>
      </c>
      <c r="Q34" s="8">
        <f>IF(Responses!Q34="","",IF(Responses!Q34="Tidak Benar",2,IF(Responses!Q34="Agak Benar",1,0)))</f>
        <v>0</v>
      </c>
      <c r="R34" s="8">
        <f>IF(Responses!R34="","",IF(Responses!R34="Benar",2,IF(Responses!R34="Agak Benar",1,0)))</f>
        <v>0</v>
      </c>
      <c r="S34" s="8">
        <f>IF(Responses!S34="","",IF(Responses!S34="Benar",2,IF(Responses!S34="Agak Benar",1,0)))</f>
        <v>1</v>
      </c>
      <c r="T34" s="8">
        <f>IF(Responses!T34="","",IF(Responses!T34="Tidak Benar",2,IF(Responses!T34="Agak Benar",1,0)))</f>
        <v>1</v>
      </c>
      <c r="U34" s="8">
        <f>IF(Responses!U34="","",IF(Responses!U34="Benar",2,IF(Responses!U34="Agak Benar",1,0)))</f>
        <v>0</v>
      </c>
      <c r="V34" s="8">
        <f>IF(Responses!V34="","",IF(Responses!V34="Benar",2,IF(Responses!V34="Agak Benar",1,0)))</f>
        <v>0</v>
      </c>
      <c r="W34" s="8">
        <f>IF(Responses!W34="","",IF(Responses!W34="Benar",2,IF(Responses!W34="Agak Benar",1,0)))</f>
        <v>2</v>
      </c>
      <c r="X34" s="8">
        <f>IF(Responses!X34="","",IF(Responses!X34="Benar",2,IF(Responses!X34="Agak Benar",1,0)))</f>
        <v>0</v>
      </c>
      <c r="Y34" s="8">
        <f>IF(Responses!Y34="","",IF(Responses!Y34="Benar",2,IF(Responses!Y34="Agak Benar",1,0)))</f>
        <v>0</v>
      </c>
      <c r="Z34" s="8">
        <f>IF(Responses!Z34="","",IF(Responses!Z34="Benar",2,IF(Responses!Z34="Agak Benar",1,0)))</f>
        <v>1</v>
      </c>
      <c r="AA34" s="8">
        <f>IF(Responses!AA34="","",IF(Responses!AA34="Tidak Benar",2,IF(Responses!AA34="Agak Benar",1,0)))</f>
        <v>0</v>
      </c>
      <c r="AB34" s="8">
        <f>IF(Responses!AB34="","",IF(Responses!AB34="Benar",2,IF(Responses!AB34="Agak Benar",1,0)))</f>
        <v>0</v>
      </c>
      <c r="AC34" s="8">
        <f>IF(Responses!AC34="","",IF(Responses!AC34="Benar",2,IF(Responses!AC34="Agak Benar",1,0)))</f>
        <v>2</v>
      </c>
      <c r="AD34" s="8">
        <f>IF(Responses!AD34="","",IF(Responses!AD34="Benar",2,IF(Responses!AD34="Agak Benar",1,0)))</f>
        <v>0</v>
      </c>
      <c r="AE34" s="8">
        <f>IF(Responses!AE34="","",IF(Responses!AE34="Tidak Benar",2,IF(Responses!AE34="Agak Benar",1,0)))</f>
        <v>0</v>
      </c>
      <c r="AF34" s="20">
        <f t="shared" ref="AF34:AF65" si="14">IF(A34="","",I34+N34+S34+V34+AD34)</f>
        <v>2</v>
      </c>
      <c r="AG34" s="20">
        <f t="shared" ref="AG34:AG65" si="15">IF(A34="","",K34+M34+R34+X34+AB34)</f>
        <v>2</v>
      </c>
      <c r="AH34" s="20">
        <f t="shared" ref="AH34:AH65" si="16">IF(A34="","",H34+P34+U34+AA34+AE34)</f>
        <v>2</v>
      </c>
      <c r="AI34" s="20">
        <f t="shared" ref="AI34:AI65" si="17">IF(A34="","",L34+Q34+T34+Y34+AC34)</f>
        <v>5</v>
      </c>
      <c r="AJ34" s="20">
        <f t="shared" ref="AJ34:AJ65" si="18">IF(A34="","",G34+J34+O34+W34+Z34)</f>
        <v>9</v>
      </c>
      <c r="AK34" s="20" t="str">
        <f t="shared" ref="AK34:AK65" si="19">IF(AF34="","",IF(AF34&lt;=5,"Normal",IF(AF34=6,"Borderline","Abnormal")))</f>
        <v>Normal</v>
      </c>
      <c r="AL34" s="20" t="str">
        <f t="shared" ref="AL34:AL65" si="20">IF(AG34="","",IF(AG34&lt;=3,"Normal",IF(AG34=4,"Borderline","Abnormal")))</f>
        <v>Normal</v>
      </c>
      <c r="AM34" s="20" t="str">
        <f t="shared" ref="AM34:AM65" si="21">IF(AH34="","",IF(AH34&lt;=5,"Normal",IF(AH34=6,"Borderline","Abnormal")))</f>
        <v>Normal</v>
      </c>
      <c r="AN34" s="20" t="str">
        <f t="shared" ref="AN34:AN65" si="22">IF(AI34="","",IF(AI34&lt;=3,"Normal",IF(AI34&lt;=5,"Borderline","Abnormal")))</f>
        <v>Borderline</v>
      </c>
      <c r="AO34" s="20" t="str">
        <f t="shared" ref="AO34:AO65" si="23">IF(AJ34="","",IF(AJ34&gt;=6,"Normal",IF(AJ34=5,"Borderline","Abnormal")))</f>
        <v>Normal</v>
      </c>
      <c r="AP34" s="20">
        <f t="shared" si="12"/>
        <v>11</v>
      </c>
      <c r="AQ34" s="20" t="str">
        <f t="shared" si="13"/>
        <v>Normal</v>
      </c>
    </row>
    <row r="35" spans="1:43" x14ac:dyDescent="0.3">
      <c r="A35" s="19" t="str">
        <f>Responses!A35</f>
        <v>yX2Oxqd</v>
      </c>
      <c r="B35" s="19" t="str">
        <f>Responses!B35</f>
        <v>Y5o2Ed6</v>
      </c>
      <c r="C35" s="19">
        <f>Responses!C35</f>
        <v>46136.097129629627</v>
      </c>
      <c r="D35" s="19" t="str">
        <f>Responses!D35</f>
        <v xml:space="preserve">Aqila Dewi Pangesti </v>
      </c>
      <c r="E35" s="19" t="str">
        <f>Responses!E35</f>
        <v>XI-2</v>
      </c>
      <c r="F35" s="19">
        <f>Responses!F35</f>
        <v>17</v>
      </c>
      <c r="G35" s="8">
        <f>IF(Responses!G35="","",IF(Responses!G35="Benar",2,IF(Responses!G35="Agak Benar",1,0)))</f>
        <v>2</v>
      </c>
      <c r="H35" s="8">
        <f>IF(Responses!H35="","",IF(Responses!H35="Benar",2,IF(Responses!H35="Agak Benar",1,0)))</f>
        <v>0</v>
      </c>
      <c r="I35" s="8">
        <f>IF(Responses!I35="","",IF(Responses!I35="Benar",2,IF(Responses!I35="Agak Benar",1,0)))</f>
        <v>1</v>
      </c>
      <c r="J35" s="8">
        <f>IF(Responses!J35="","",IF(Responses!J35="Benar",2,IF(Responses!J35="Agak Benar",1,0)))</f>
        <v>2</v>
      </c>
      <c r="K35" s="8">
        <f>IF(Responses!K35="","",IF(Responses!K35="Benar",2,IF(Responses!K35="Agak Benar",1,0)))</f>
        <v>1</v>
      </c>
      <c r="L35" s="8">
        <f>IF(Responses!L35="","",IF(Responses!L35="Benar",2,IF(Responses!L35="Agak Benar",1,0)))</f>
        <v>2</v>
      </c>
      <c r="M35" s="8">
        <f>IF(Responses!M35="","",IF(Responses!M35="Tidak Benar",2,IF(Responses!M35="Agak Benar",1,0)))</f>
        <v>1</v>
      </c>
      <c r="N35" s="8">
        <f>IF(Responses!N35="","",IF(Responses!N35="Benar",2,IF(Responses!N35="Agak Benar",1,0)))</f>
        <v>2</v>
      </c>
      <c r="O35" s="8">
        <f>IF(Responses!O35="","",IF(Responses!O35="Benar",2,IF(Responses!O35="Agak Benar",1,0)))</f>
        <v>2</v>
      </c>
      <c r="P35" s="8">
        <f>IF(Responses!P35="","",IF(Responses!P35="Benar",2,IF(Responses!P35="Agak Benar",1,0)))</f>
        <v>1</v>
      </c>
      <c r="Q35" s="8">
        <f>IF(Responses!Q35="","",IF(Responses!Q35="Tidak Benar",2,IF(Responses!Q35="Agak Benar",1,0)))</f>
        <v>0</v>
      </c>
      <c r="R35" s="8">
        <f>IF(Responses!R35="","",IF(Responses!R35="Benar",2,IF(Responses!R35="Agak Benar",1,0)))</f>
        <v>0</v>
      </c>
      <c r="S35" s="8">
        <f>IF(Responses!S35="","",IF(Responses!S35="Benar",2,IF(Responses!S35="Agak Benar",1,0)))</f>
        <v>1</v>
      </c>
      <c r="T35" s="8">
        <f>IF(Responses!T35="","",IF(Responses!T35="Tidak Benar",2,IF(Responses!T35="Agak Benar",1,0)))</f>
        <v>1</v>
      </c>
      <c r="U35" s="8">
        <f>IF(Responses!U35="","",IF(Responses!U35="Benar",2,IF(Responses!U35="Agak Benar",1,0)))</f>
        <v>1</v>
      </c>
      <c r="V35" s="8">
        <f>IF(Responses!V35="","",IF(Responses!V35="Benar",2,IF(Responses!V35="Agak Benar",1,0)))</f>
        <v>1</v>
      </c>
      <c r="W35" s="8">
        <f>IF(Responses!W35="","",IF(Responses!W35="Benar",2,IF(Responses!W35="Agak Benar",1,0)))</f>
        <v>2</v>
      </c>
      <c r="X35" s="8">
        <f>IF(Responses!X35="","",IF(Responses!X35="Benar",2,IF(Responses!X35="Agak Benar",1,0)))</f>
        <v>1</v>
      </c>
      <c r="Y35" s="8">
        <f>IF(Responses!Y35="","",IF(Responses!Y35="Benar",2,IF(Responses!Y35="Agak Benar",1,0)))</f>
        <v>0</v>
      </c>
      <c r="Z35" s="8">
        <f>IF(Responses!Z35="","",IF(Responses!Z35="Benar",2,IF(Responses!Z35="Agak Benar",1,0)))</f>
        <v>2</v>
      </c>
      <c r="AA35" s="8">
        <f>IF(Responses!AA35="","",IF(Responses!AA35="Tidak Benar",2,IF(Responses!AA35="Agak Benar",1,0)))</f>
        <v>0</v>
      </c>
      <c r="AB35" s="8">
        <f>IF(Responses!AB35="","",IF(Responses!AB35="Benar",2,IF(Responses!AB35="Agak Benar",1,0)))</f>
        <v>0</v>
      </c>
      <c r="AC35" s="8">
        <f>IF(Responses!AC35="","",IF(Responses!AC35="Benar",2,IF(Responses!AC35="Agak Benar",1,0)))</f>
        <v>0</v>
      </c>
      <c r="AD35" s="8">
        <f>IF(Responses!AD35="","",IF(Responses!AD35="Benar",2,IF(Responses!AD35="Agak Benar",1,0)))</f>
        <v>1</v>
      </c>
      <c r="AE35" s="8">
        <f>IF(Responses!AE35="","",IF(Responses!AE35="Tidak Benar",2,IF(Responses!AE35="Agak Benar",1,0)))</f>
        <v>0</v>
      </c>
      <c r="AF35" s="20">
        <f t="shared" si="14"/>
        <v>6</v>
      </c>
      <c r="AG35" s="20">
        <f t="shared" si="15"/>
        <v>3</v>
      </c>
      <c r="AH35" s="20">
        <f t="shared" si="16"/>
        <v>2</v>
      </c>
      <c r="AI35" s="20">
        <f t="shared" si="17"/>
        <v>3</v>
      </c>
      <c r="AJ35" s="20">
        <f t="shared" si="18"/>
        <v>10</v>
      </c>
      <c r="AK35" s="20" t="str">
        <f t="shared" si="19"/>
        <v>Borderline</v>
      </c>
      <c r="AL35" s="20" t="str">
        <f t="shared" si="20"/>
        <v>Normal</v>
      </c>
      <c r="AM35" s="20" t="str">
        <f t="shared" si="21"/>
        <v>Normal</v>
      </c>
      <c r="AN35" s="20" t="str">
        <f t="shared" si="22"/>
        <v>Normal</v>
      </c>
      <c r="AO35" s="20" t="str">
        <f t="shared" si="23"/>
        <v>Normal</v>
      </c>
      <c r="AP35" s="20">
        <f t="shared" si="12"/>
        <v>14</v>
      </c>
      <c r="AQ35" s="20" t="str">
        <f t="shared" si="13"/>
        <v>Normal</v>
      </c>
    </row>
    <row r="36" spans="1:43" x14ac:dyDescent="0.3">
      <c r="A36" s="19" t="str">
        <f>Responses!A36</f>
        <v>1WdjMD1</v>
      </c>
      <c r="B36" s="19" t="str">
        <f>Responses!B36</f>
        <v>1AbjZ24</v>
      </c>
      <c r="C36" s="19">
        <f>Responses!C36</f>
        <v>46136.097141203703</v>
      </c>
      <c r="D36" s="19" t="str">
        <f>Responses!D36</f>
        <v>Manggihi Aura</v>
      </c>
      <c r="E36" s="19" t="str">
        <f>Responses!E36</f>
        <v>XI-1</v>
      </c>
      <c r="F36" s="19">
        <f>Responses!F36</f>
        <v>16</v>
      </c>
      <c r="G36" s="8">
        <f>IF(Responses!G36="","",IF(Responses!G36="Benar",2,IF(Responses!G36="Agak Benar",1,0)))</f>
        <v>2</v>
      </c>
      <c r="H36" s="8">
        <f>IF(Responses!H36="","",IF(Responses!H36="Benar",2,IF(Responses!H36="Agak Benar",1,0)))</f>
        <v>1</v>
      </c>
      <c r="I36" s="8">
        <f>IF(Responses!I36="","",IF(Responses!I36="Benar",2,IF(Responses!I36="Agak Benar",1,0)))</f>
        <v>0</v>
      </c>
      <c r="J36" s="8">
        <f>IF(Responses!J36="","",IF(Responses!J36="Benar",2,IF(Responses!J36="Agak Benar",1,0)))</f>
        <v>0</v>
      </c>
      <c r="K36" s="8">
        <f>IF(Responses!K36="","",IF(Responses!K36="Benar",2,IF(Responses!K36="Agak Benar",1,0)))</f>
        <v>0</v>
      </c>
      <c r="L36" s="8">
        <f>IF(Responses!L36="","",IF(Responses!L36="Benar",2,IF(Responses!L36="Agak Benar",1,0)))</f>
        <v>0</v>
      </c>
      <c r="M36" s="8">
        <f>IF(Responses!M36="","",IF(Responses!M36="Tidak Benar",2,IF(Responses!M36="Agak Benar",1,0)))</f>
        <v>1</v>
      </c>
      <c r="N36" s="8">
        <f>IF(Responses!N36="","",IF(Responses!N36="Benar",2,IF(Responses!N36="Agak Benar",1,0)))</f>
        <v>1</v>
      </c>
      <c r="O36" s="8">
        <f>IF(Responses!O36="","",IF(Responses!O36="Benar",2,IF(Responses!O36="Agak Benar",1,0)))</f>
        <v>2</v>
      </c>
      <c r="P36" s="8">
        <f>IF(Responses!P36="","",IF(Responses!P36="Benar",2,IF(Responses!P36="Agak Benar",1,0)))</f>
        <v>2</v>
      </c>
      <c r="Q36" s="8">
        <f>IF(Responses!Q36="","",IF(Responses!Q36="Tidak Benar",2,IF(Responses!Q36="Agak Benar",1,0)))</f>
        <v>0</v>
      </c>
      <c r="R36" s="8">
        <f>IF(Responses!R36="","",IF(Responses!R36="Benar",2,IF(Responses!R36="Agak Benar",1,0)))</f>
        <v>0</v>
      </c>
      <c r="S36" s="8">
        <f>IF(Responses!S36="","",IF(Responses!S36="Benar",2,IF(Responses!S36="Agak Benar",1,0)))</f>
        <v>0</v>
      </c>
      <c r="T36" s="8">
        <f>IF(Responses!T36="","",IF(Responses!T36="Tidak Benar",2,IF(Responses!T36="Agak Benar",1,0)))</f>
        <v>0</v>
      </c>
      <c r="U36" s="8">
        <f>IF(Responses!U36="","",IF(Responses!U36="Benar",2,IF(Responses!U36="Agak Benar",1,0)))</f>
        <v>2</v>
      </c>
      <c r="V36" s="8">
        <f>IF(Responses!V36="","",IF(Responses!V36="Benar",2,IF(Responses!V36="Agak Benar",1,0)))</f>
        <v>2</v>
      </c>
      <c r="W36" s="8">
        <f>IF(Responses!W36="","",IF(Responses!W36="Benar",2,IF(Responses!W36="Agak Benar",1,0)))</f>
        <v>2</v>
      </c>
      <c r="X36" s="8">
        <f>IF(Responses!X36="","",IF(Responses!X36="Benar",2,IF(Responses!X36="Agak Benar",1,0)))</f>
        <v>1</v>
      </c>
      <c r="Y36" s="8">
        <f>IF(Responses!Y36="","",IF(Responses!Y36="Benar",2,IF(Responses!Y36="Agak Benar",1,0)))</f>
        <v>0</v>
      </c>
      <c r="Z36" s="8">
        <f>IF(Responses!Z36="","",IF(Responses!Z36="Benar",2,IF(Responses!Z36="Agak Benar",1,0)))</f>
        <v>2</v>
      </c>
      <c r="AA36" s="8">
        <f>IF(Responses!AA36="","",IF(Responses!AA36="Tidak Benar",2,IF(Responses!AA36="Agak Benar",1,0)))</f>
        <v>1</v>
      </c>
      <c r="AB36" s="8">
        <f>IF(Responses!AB36="","",IF(Responses!AB36="Benar",2,IF(Responses!AB36="Agak Benar",1,0)))</f>
        <v>0</v>
      </c>
      <c r="AC36" s="8">
        <f>IF(Responses!AC36="","",IF(Responses!AC36="Benar",2,IF(Responses!AC36="Agak Benar",1,0)))</f>
        <v>0</v>
      </c>
      <c r="AD36" s="8">
        <f>IF(Responses!AD36="","",IF(Responses!AD36="Benar",2,IF(Responses!AD36="Agak Benar",1,0)))</f>
        <v>1</v>
      </c>
      <c r="AE36" s="8">
        <f>IF(Responses!AE36="","",IF(Responses!AE36="Tidak Benar",2,IF(Responses!AE36="Agak Benar",1,0)))</f>
        <v>2</v>
      </c>
      <c r="AF36" s="20">
        <f t="shared" si="14"/>
        <v>4</v>
      </c>
      <c r="AG36" s="20">
        <f t="shared" si="15"/>
        <v>2</v>
      </c>
      <c r="AH36" s="20">
        <f t="shared" si="16"/>
        <v>8</v>
      </c>
      <c r="AI36" s="20">
        <f t="shared" si="17"/>
        <v>0</v>
      </c>
      <c r="AJ36" s="20">
        <f t="shared" si="18"/>
        <v>8</v>
      </c>
      <c r="AK36" s="20" t="str">
        <f t="shared" si="19"/>
        <v>Normal</v>
      </c>
      <c r="AL36" s="20" t="str">
        <f t="shared" si="20"/>
        <v>Normal</v>
      </c>
      <c r="AM36" s="20" t="str">
        <f t="shared" si="21"/>
        <v>Abnormal</v>
      </c>
      <c r="AN36" s="20" t="str">
        <f t="shared" si="22"/>
        <v>Normal</v>
      </c>
      <c r="AO36" s="20" t="str">
        <f t="shared" si="23"/>
        <v>Normal</v>
      </c>
      <c r="AP36" s="20">
        <f t="shared" si="12"/>
        <v>14</v>
      </c>
      <c r="AQ36" s="20" t="str">
        <f t="shared" si="13"/>
        <v>Normal</v>
      </c>
    </row>
    <row r="37" spans="1:43" x14ac:dyDescent="0.3">
      <c r="A37" s="19" t="str">
        <f>Responses!A37</f>
        <v>xVMGyay</v>
      </c>
      <c r="B37" s="19" t="str">
        <f>Responses!B37</f>
        <v>MerBKDk</v>
      </c>
      <c r="C37" s="19">
        <f>Responses!C37</f>
        <v>46136.097303240742</v>
      </c>
      <c r="D37" s="19" t="str">
        <f>Responses!D37</f>
        <v>Risang Daiyan S.</v>
      </c>
      <c r="E37" s="19" t="str">
        <f>Responses!E37</f>
        <v>XI-2</v>
      </c>
      <c r="F37" s="19">
        <f>Responses!F37</f>
        <v>16</v>
      </c>
      <c r="G37" s="8">
        <f>IF(Responses!G37="","",IF(Responses!G37="Benar",2,IF(Responses!G37="Agak Benar",1,0)))</f>
        <v>1</v>
      </c>
      <c r="H37" s="8">
        <f>IF(Responses!H37="","",IF(Responses!H37="Benar",2,IF(Responses!H37="Agak Benar",1,0)))</f>
        <v>1</v>
      </c>
      <c r="I37" s="8">
        <f>IF(Responses!I37="","",IF(Responses!I37="Benar",2,IF(Responses!I37="Agak Benar",1,0)))</f>
        <v>2</v>
      </c>
      <c r="J37" s="8">
        <f>IF(Responses!J37="","",IF(Responses!J37="Benar",2,IF(Responses!J37="Agak Benar",1,0)))</f>
        <v>2</v>
      </c>
      <c r="K37" s="8">
        <f>IF(Responses!K37="","",IF(Responses!K37="Benar",2,IF(Responses!K37="Agak Benar",1,0)))</f>
        <v>1</v>
      </c>
      <c r="L37" s="8">
        <f>IF(Responses!L37="","",IF(Responses!L37="Benar",2,IF(Responses!L37="Agak Benar",1,0)))</f>
        <v>1</v>
      </c>
      <c r="M37" s="8">
        <f>IF(Responses!M37="","",IF(Responses!M37="Tidak Benar",2,IF(Responses!M37="Agak Benar",1,0)))</f>
        <v>1</v>
      </c>
      <c r="N37" s="8">
        <f>IF(Responses!N37="","",IF(Responses!N37="Benar",2,IF(Responses!N37="Agak Benar",1,0)))</f>
        <v>2</v>
      </c>
      <c r="O37" s="8">
        <f>IF(Responses!O37="","",IF(Responses!O37="Benar",2,IF(Responses!O37="Agak Benar",1,0)))</f>
        <v>2</v>
      </c>
      <c r="P37" s="8">
        <f>IF(Responses!P37="","",IF(Responses!P37="Benar",2,IF(Responses!P37="Agak Benar",1,0)))</f>
        <v>2</v>
      </c>
      <c r="Q37" s="8">
        <f>IF(Responses!Q37="","",IF(Responses!Q37="Tidak Benar",2,IF(Responses!Q37="Agak Benar",1,0)))</f>
        <v>0</v>
      </c>
      <c r="R37" s="8">
        <f>IF(Responses!R37="","",IF(Responses!R37="Benar",2,IF(Responses!R37="Agak Benar",1,0)))</f>
        <v>0</v>
      </c>
      <c r="S37" s="8">
        <f>IF(Responses!S37="","",IF(Responses!S37="Benar",2,IF(Responses!S37="Agak Benar",1,0)))</f>
        <v>1</v>
      </c>
      <c r="T37" s="8">
        <f>IF(Responses!T37="","",IF(Responses!T37="Tidak Benar",2,IF(Responses!T37="Agak Benar",1,0)))</f>
        <v>1</v>
      </c>
      <c r="U37" s="8">
        <f>IF(Responses!U37="","",IF(Responses!U37="Benar",2,IF(Responses!U37="Agak Benar",1,0)))</f>
        <v>2</v>
      </c>
      <c r="V37" s="8">
        <f>IF(Responses!V37="","",IF(Responses!V37="Benar",2,IF(Responses!V37="Agak Benar",1,0)))</f>
        <v>2</v>
      </c>
      <c r="W37" s="8">
        <f>IF(Responses!W37="","",IF(Responses!W37="Benar",2,IF(Responses!W37="Agak Benar",1,0)))</f>
        <v>2</v>
      </c>
      <c r="X37" s="8">
        <f>IF(Responses!X37="","",IF(Responses!X37="Benar",2,IF(Responses!X37="Agak Benar",1,0)))</f>
        <v>0</v>
      </c>
      <c r="Y37" s="8">
        <f>IF(Responses!Y37="","",IF(Responses!Y37="Benar",2,IF(Responses!Y37="Agak Benar",1,0)))</f>
        <v>1</v>
      </c>
      <c r="Z37" s="8">
        <f>IF(Responses!Z37="","",IF(Responses!Z37="Benar",2,IF(Responses!Z37="Agak Benar",1,0)))</f>
        <v>1</v>
      </c>
      <c r="AA37" s="8">
        <f>IF(Responses!AA37="","",IF(Responses!AA37="Tidak Benar",2,IF(Responses!AA37="Agak Benar",1,0)))</f>
        <v>0</v>
      </c>
      <c r="AB37" s="8">
        <f>IF(Responses!AB37="","",IF(Responses!AB37="Benar",2,IF(Responses!AB37="Agak Benar",1,0)))</f>
        <v>0</v>
      </c>
      <c r="AC37" s="8">
        <f>IF(Responses!AC37="","",IF(Responses!AC37="Benar",2,IF(Responses!AC37="Agak Benar",1,0)))</f>
        <v>0</v>
      </c>
      <c r="AD37" s="8">
        <f>IF(Responses!AD37="","",IF(Responses!AD37="Benar",2,IF(Responses!AD37="Agak Benar",1,0)))</f>
        <v>1</v>
      </c>
      <c r="AE37" s="8">
        <f>IF(Responses!AE37="","",IF(Responses!AE37="Tidak Benar",2,IF(Responses!AE37="Agak Benar",1,0)))</f>
        <v>1</v>
      </c>
      <c r="AF37" s="20">
        <f t="shared" si="14"/>
        <v>8</v>
      </c>
      <c r="AG37" s="20">
        <f t="shared" si="15"/>
        <v>2</v>
      </c>
      <c r="AH37" s="20">
        <f t="shared" si="16"/>
        <v>6</v>
      </c>
      <c r="AI37" s="20">
        <f t="shared" si="17"/>
        <v>3</v>
      </c>
      <c r="AJ37" s="20">
        <f t="shared" si="18"/>
        <v>8</v>
      </c>
      <c r="AK37" s="20" t="str">
        <f t="shared" si="19"/>
        <v>Abnormal</v>
      </c>
      <c r="AL37" s="20" t="str">
        <f t="shared" si="20"/>
        <v>Normal</v>
      </c>
      <c r="AM37" s="20" t="str">
        <f t="shared" si="21"/>
        <v>Borderline</v>
      </c>
      <c r="AN37" s="20" t="str">
        <f t="shared" si="22"/>
        <v>Normal</v>
      </c>
      <c r="AO37" s="20" t="str">
        <f t="shared" si="23"/>
        <v>Normal</v>
      </c>
      <c r="AP37" s="20">
        <f t="shared" si="12"/>
        <v>19</v>
      </c>
      <c r="AQ37" s="20" t="str">
        <f t="shared" si="13"/>
        <v>Borderline</v>
      </c>
    </row>
    <row r="38" spans="1:43" x14ac:dyDescent="0.3">
      <c r="A38" s="19" t="str">
        <f>Responses!A38</f>
        <v>LD78Y0G</v>
      </c>
      <c r="B38" s="19" t="str">
        <f>Responses!B38</f>
        <v>RGZpKP9</v>
      </c>
      <c r="C38" s="19">
        <f>Responses!C38</f>
        <v>46136.097314814811</v>
      </c>
      <c r="D38" s="19" t="str">
        <f>Responses!D38</f>
        <v>Ghania Rajni</v>
      </c>
      <c r="E38" s="19" t="str">
        <f>Responses!E38</f>
        <v>XI-2</v>
      </c>
      <c r="F38" s="19">
        <f>Responses!F38</f>
        <v>17</v>
      </c>
      <c r="G38" s="8">
        <f>IF(Responses!G38="","",IF(Responses!G38="Benar",2,IF(Responses!G38="Agak Benar",1,0)))</f>
        <v>2</v>
      </c>
      <c r="H38" s="8">
        <f>IF(Responses!H38="","",IF(Responses!H38="Benar",2,IF(Responses!H38="Agak Benar",1,0)))</f>
        <v>0</v>
      </c>
      <c r="I38" s="8">
        <f>IF(Responses!I38="","",IF(Responses!I38="Benar",2,IF(Responses!I38="Agak Benar",1,0)))</f>
        <v>1</v>
      </c>
      <c r="J38" s="8">
        <f>IF(Responses!J38="","",IF(Responses!J38="Benar",2,IF(Responses!J38="Agak Benar",1,0)))</f>
        <v>2</v>
      </c>
      <c r="K38" s="8">
        <f>IF(Responses!K38="","",IF(Responses!K38="Benar",2,IF(Responses!K38="Agak Benar",1,0)))</f>
        <v>1</v>
      </c>
      <c r="L38" s="8">
        <f>IF(Responses!L38="","",IF(Responses!L38="Benar",2,IF(Responses!L38="Agak Benar",1,0)))</f>
        <v>0</v>
      </c>
      <c r="M38" s="8">
        <f>IF(Responses!M38="","",IF(Responses!M38="Tidak Benar",2,IF(Responses!M38="Agak Benar",1,0)))</f>
        <v>2</v>
      </c>
      <c r="N38" s="8">
        <f>IF(Responses!N38="","",IF(Responses!N38="Benar",2,IF(Responses!N38="Agak Benar",1,0)))</f>
        <v>1</v>
      </c>
      <c r="O38" s="8">
        <f>IF(Responses!O38="","",IF(Responses!O38="Benar",2,IF(Responses!O38="Agak Benar",1,0)))</f>
        <v>2</v>
      </c>
      <c r="P38" s="8">
        <f>IF(Responses!P38="","",IF(Responses!P38="Benar",2,IF(Responses!P38="Agak Benar",1,0)))</f>
        <v>1</v>
      </c>
      <c r="Q38" s="8">
        <f>IF(Responses!Q38="","",IF(Responses!Q38="Tidak Benar",2,IF(Responses!Q38="Agak Benar",1,0)))</f>
        <v>0</v>
      </c>
      <c r="R38" s="8">
        <f>IF(Responses!R38="","",IF(Responses!R38="Benar",2,IF(Responses!R38="Agak Benar",1,0)))</f>
        <v>1</v>
      </c>
      <c r="S38" s="8">
        <f>IF(Responses!S38="","",IF(Responses!S38="Benar",2,IF(Responses!S38="Agak Benar",1,0)))</f>
        <v>1</v>
      </c>
      <c r="T38" s="8">
        <f>IF(Responses!T38="","",IF(Responses!T38="Tidak Benar",2,IF(Responses!T38="Agak Benar",1,0)))</f>
        <v>0</v>
      </c>
      <c r="U38" s="8">
        <f>IF(Responses!U38="","",IF(Responses!U38="Benar",2,IF(Responses!U38="Agak Benar",1,0)))</f>
        <v>1</v>
      </c>
      <c r="V38" s="8">
        <f>IF(Responses!V38="","",IF(Responses!V38="Benar",2,IF(Responses!V38="Agak Benar",1,0)))</f>
        <v>0</v>
      </c>
      <c r="W38" s="8">
        <f>IF(Responses!W38="","",IF(Responses!W38="Benar",2,IF(Responses!W38="Agak Benar",1,0)))</f>
        <v>1</v>
      </c>
      <c r="X38" s="8">
        <f>IF(Responses!X38="","",IF(Responses!X38="Benar",2,IF(Responses!X38="Agak Benar",1,0)))</f>
        <v>0</v>
      </c>
      <c r="Y38" s="8">
        <f>IF(Responses!Y38="","",IF(Responses!Y38="Benar",2,IF(Responses!Y38="Agak Benar",1,0)))</f>
        <v>0</v>
      </c>
      <c r="Z38" s="8">
        <f>IF(Responses!Z38="","",IF(Responses!Z38="Benar",2,IF(Responses!Z38="Agak Benar",1,0)))</f>
        <v>1</v>
      </c>
      <c r="AA38" s="8">
        <f>IF(Responses!AA38="","",IF(Responses!AA38="Tidak Benar",2,IF(Responses!AA38="Agak Benar",1,0)))</f>
        <v>0</v>
      </c>
      <c r="AB38" s="8">
        <f>IF(Responses!AB38="","",IF(Responses!AB38="Benar",2,IF(Responses!AB38="Agak Benar",1,0)))</f>
        <v>0</v>
      </c>
      <c r="AC38" s="8">
        <f>IF(Responses!AC38="","",IF(Responses!AC38="Benar",2,IF(Responses!AC38="Agak Benar",1,0)))</f>
        <v>0</v>
      </c>
      <c r="AD38" s="8">
        <f>IF(Responses!AD38="","",IF(Responses!AD38="Benar",2,IF(Responses!AD38="Agak Benar",1,0)))</f>
        <v>0</v>
      </c>
      <c r="AE38" s="8">
        <f>IF(Responses!AE38="","",IF(Responses!AE38="Tidak Benar",2,IF(Responses!AE38="Agak Benar",1,0)))</f>
        <v>0</v>
      </c>
      <c r="AF38" s="20">
        <f t="shared" si="14"/>
        <v>3</v>
      </c>
      <c r="AG38" s="20">
        <f t="shared" si="15"/>
        <v>4</v>
      </c>
      <c r="AH38" s="20">
        <f t="shared" si="16"/>
        <v>2</v>
      </c>
      <c r="AI38" s="20">
        <f t="shared" si="17"/>
        <v>0</v>
      </c>
      <c r="AJ38" s="20">
        <f t="shared" si="18"/>
        <v>8</v>
      </c>
      <c r="AK38" s="20" t="str">
        <f t="shared" si="19"/>
        <v>Normal</v>
      </c>
      <c r="AL38" s="20" t="str">
        <f t="shared" si="20"/>
        <v>Borderline</v>
      </c>
      <c r="AM38" s="20" t="str">
        <f t="shared" si="21"/>
        <v>Normal</v>
      </c>
      <c r="AN38" s="20" t="str">
        <f t="shared" si="22"/>
        <v>Normal</v>
      </c>
      <c r="AO38" s="20" t="str">
        <f t="shared" si="23"/>
        <v>Normal</v>
      </c>
      <c r="AP38" s="20">
        <f t="shared" si="12"/>
        <v>9</v>
      </c>
      <c r="AQ38" s="20" t="str">
        <f t="shared" si="13"/>
        <v>Normal</v>
      </c>
    </row>
    <row r="39" spans="1:43" x14ac:dyDescent="0.3">
      <c r="A39" s="19" t="str">
        <f>Responses!A39</f>
        <v>laepWZN</v>
      </c>
      <c r="B39" s="19" t="str">
        <f>Responses!B39</f>
        <v>XxRXlze</v>
      </c>
      <c r="C39" s="19">
        <f>Responses!C39</f>
        <v>46136.097384259258</v>
      </c>
      <c r="D39" s="19" t="str">
        <f>Responses!D39</f>
        <v>Natasha Almeira</v>
      </c>
      <c r="E39" s="19" t="str">
        <f>Responses!E39</f>
        <v>XI-2</v>
      </c>
      <c r="F39" s="19">
        <f>Responses!F39</f>
        <v>17</v>
      </c>
      <c r="G39" s="8">
        <f>IF(Responses!G39="","",IF(Responses!G39="Benar",2,IF(Responses!G39="Agak Benar",1,0)))</f>
        <v>2</v>
      </c>
      <c r="H39" s="8">
        <f>IF(Responses!H39="","",IF(Responses!H39="Benar",2,IF(Responses!H39="Agak Benar",1,0)))</f>
        <v>1</v>
      </c>
      <c r="I39" s="8">
        <f>IF(Responses!I39="","",IF(Responses!I39="Benar",2,IF(Responses!I39="Agak Benar",1,0)))</f>
        <v>1</v>
      </c>
      <c r="J39" s="8">
        <f>IF(Responses!J39="","",IF(Responses!J39="Benar",2,IF(Responses!J39="Agak Benar",1,0)))</f>
        <v>2</v>
      </c>
      <c r="K39" s="8">
        <f>IF(Responses!K39="","",IF(Responses!K39="Benar",2,IF(Responses!K39="Agak Benar",1,0)))</f>
        <v>0</v>
      </c>
      <c r="L39" s="8">
        <f>IF(Responses!L39="","",IF(Responses!L39="Benar",2,IF(Responses!L39="Agak Benar",1,0)))</f>
        <v>0</v>
      </c>
      <c r="M39" s="8">
        <f>IF(Responses!M39="","",IF(Responses!M39="Tidak Benar",2,IF(Responses!M39="Agak Benar",1,0)))</f>
        <v>0</v>
      </c>
      <c r="N39" s="8">
        <f>IF(Responses!N39="","",IF(Responses!N39="Benar",2,IF(Responses!N39="Agak Benar",1,0)))</f>
        <v>2</v>
      </c>
      <c r="O39" s="8">
        <f>IF(Responses!O39="","",IF(Responses!O39="Benar",2,IF(Responses!O39="Agak Benar",1,0)))</f>
        <v>2</v>
      </c>
      <c r="P39" s="8">
        <f>IF(Responses!P39="","",IF(Responses!P39="Benar",2,IF(Responses!P39="Agak Benar",1,0)))</f>
        <v>0</v>
      </c>
      <c r="Q39" s="8">
        <f>IF(Responses!Q39="","",IF(Responses!Q39="Tidak Benar",2,IF(Responses!Q39="Agak Benar",1,0)))</f>
        <v>0</v>
      </c>
      <c r="R39" s="8">
        <f>IF(Responses!R39="","",IF(Responses!R39="Benar",2,IF(Responses!R39="Agak Benar",1,0)))</f>
        <v>0</v>
      </c>
      <c r="S39" s="8">
        <f>IF(Responses!S39="","",IF(Responses!S39="Benar",2,IF(Responses!S39="Agak Benar",1,0)))</f>
        <v>0</v>
      </c>
      <c r="T39" s="8">
        <f>IF(Responses!T39="","",IF(Responses!T39="Tidak Benar",2,IF(Responses!T39="Agak Benar",1,0)))</f>
        <v>0</v>
      </c>
      <c r="U39" s="8">
        <f>IF(Responses!U39="","",IF(Responses!U39="Benar",2,IF(Responses!U39="Agak Benar",1,0)))</f>
        <v>1</v>
      </c>
      <c r="V39" s="8">
        <f>IF(Responses!V39="","",IF(Responses!V39="Benar",2,IF(Responses!V39="Agak Benar",1,0)))</f>
        <v>0</v>
      </c>
      <c r="W39" s="8">
        <f>IF(Responses!W39="","",IF(Responses!W39="Benar",2,IF(Responses!W39="Agak Benar",1,0)))</f>
        <v>2</v>
      </c>
      <c r="X39" s="8">
        <f>IF(Responses!X39="","",IF(Responses!X39="Benar",2,IF(Responses!X39="Agak Benar",1,0)))</f>
        <v>0</v>
      </c>
      <c r="Y39" s="8">
        <f>IF(Responses!Y39="","",IF(Responses!Y39="Benar",2,IF(Responses!Y39="Agak Benar",1,0)))</f>
        <v>1</v>
      </c>
      <c r="Z39" s="8">
        <f>IF(Responses!Z39="","",IF(Responses!Z39="Benar",2,IF(Responses!Z39="Agak Benar",1,0)))</f>
        <v>2</v>
      </c>
      <c r="AA39" s="8">
        <f>IF(Responses!AA39="","",IF(Responses!AA39="Tidak Benar",2,IF(Responses!AA39="Agak Benar",1,0)))</f>
        <v>0</v>
      </c>
      <c r="AB39" s="8">
        <f>IF(Responses!AB39="","",IF(Responses!AB39="Benar",2,IF(Responses!AB39="Agak Benar",1,0)))</f>
        <v>0</v>
      </c>
      <c r="AC39" s="8">
        <f>IF(Responses!AC39="","",IF(Responses!AC39="Benar",2,IF(Responses!AC39="Agak Benar",1,0)))</f>
        <v>0</v>
      </c>
      <c r="AD39" s="8">
        <f>IF(Responses!AD39="","",IF(Responses!AD39="Benar",2,IF(Responses!AD39="Agak Benar",1,0)))</f>
        <v>0</v>
      </c>
      <c r="AE39" s="8">
        <f>IF(Responses!AE39="","",IF(Responses!AE39="Tidak Benar",2,IF(Responses!AE39="Agak Benar",1,0)))</f>
        <v>0</v>
      </c>
      <c r="AF39" s="20">
        <f t="shared" si="14"/>
        <v>3</v>
      </c>
      <c r="AG39" s="20">
        <f t="shared" si="15"/>
        <v>0</v>
      </c>
      <c r="AH39" s="20">
        <f t="shared" si="16"/>
        <v>2</v>
      </c>
      <c r="AI39" s="20">
        <f t="shared" si="17"/>
        <v>1</v>
      </c>
      <c r="AJ39" s="20">
        <f t="shared" si="18"/>
        <v>10</v>
      </c>
      <c r="AK39" s="20" t="str">
        <f t="shared" si="19"/>
        <v>Normal</v>
      </c>
      <c r="AL39" s="20" t="str">
        <f t="shared" si="20"/>
        <v>Normal</v>
      </c>
      <c r="AM39" s="20" t="str">
        <f t="shared" si="21"/>
        <v>Normal</v>
      </c>
      <c r="AN39" s="20" t="str">
        <f t="shared" si="22"/>
        <v>Normal</v>
      </c>
      <c r="AO39" s="20" t="str">
        <f t="shared" si="23"/>
        <v>Normal</v>
      </c>
      <c r="AP39" s="20">
        <f t="shared" si="12"/>
        <v>6</v>
      </c>
      <c r="AQ39" s="20" t="str">
        <f t="shared" si="13"/>
        <v>Normal</v>
      </c>
    </row>
    <row r="40" spans="1:43" x14ac:dyDescent="0.3">
      <c r="A40" s="19" t="str">
        <f>Responses!A40</f>
        <v>aO5WD2X</v>
      </c>
      <c r="B40" s="19" t="str">
        <f>Responses!B40</f>
        <v>44154ao</v>
      </c>
      <c r="C40" s="19">
        <f>Responses!C40</f>
        <v>46136.097500000003</v>
      </c>
      <c r="D40" s="19" t="str">
        <f>Responses!D40</f>
        <v>Ardin Adiwityandana</v>
      </c>
      <c r="E40" s="19" t="str">
        <f>Responses!E40</f>
        <v>XI-2</v>
      </c>
      <c r="F40" s="19">
        <f>Responses!F40</f>
        <v>17</v>
      </c>
      <c r="G40" s="8">
        <f>IF(Responses!G40="","",IF(Responses!G40="Benar",2,IF(Responses!G40="Agak Benar",1,0)))</f>
        <v>1</v>
      </c>
      <c r="H40" s="8">
        <f>IF(Responses!H40="","",IF(Responses!H40="Benar",2,IF(Responses!H40="Agak Benar",1,0)))</f>
        <v>1</v>
      </c>
      <c r="I40" s="8">
        <f>IF(Responses!I40="","",IF(Responses!I40="Benar",2,IF(Responses!I40="Agak Benar",1,0)))</f>
        <v>0</v>
      </c>
      <c r="J40" s="8">
        <f>IF(Responses!J40="","",IF(Responses!J40="Benar",2,IF(Responses!J40="Agak Benar",1,0)))</f>
        <v>1</v>
      </c>
      <c r="K40" s="8">
        <f>IF(Responses!K40="","",IF(Responses!K40="Benar",2,IF(Responses!K40="Agak Benar",1,0)))</f>
        <v>0</v>
      </c>
      <c r="L40" s="8">
        <f>IF(Responses!L40="","",IF(Responses!L40="Benar",2,IF(Responses!L40="Agak Benar",1,0)))</f>
        <v>0</v>
      </c>
      <c r="M40" s="8">
        <f>IF(Responses!M40="","",IF(Responses!M40="Tidak Benar",2,IF(Responses!M40="Agak Benar",1,0)))</f>
        <v>2</v>
      </c>
      <c r="N40" s="8">
        <f>IF(Responses!N40="","",IF(Responses!N40="Benar",2,IF(Responses!N40="Agak Benar",1,0)))</f>
        <v>0</v>
      </c>
      <c r="O40" s="8">
        <f>IF(Responses!O40="","",IF(Responses!O40="Benar",2,IF(Responses!O40="Agak Benar",1,0)))</f>
        <v>1</v>
      </c>
      <c r="P40" s="8">
        <f>IF(Responses!P40="","",IF(Responses!P40="Benar",2,IF(Responses!P40="Agak Benar",1,0)))</f>
        <v>1</v>
      </c>
      <c r="Q40" s="8">
        <f>IF(Responses!Q40="","",IF(Responses!Q40="Tidak Benar",2,IF(Responses!Q40="Agak Benar",1,0)))</f>
        <v>0</v>
      </c>
      <c r="R40" s="8">
        <f>IF(Responses!R40="","",IF(Responses!R40="Benar",2,IF(Responses!R40="Agak Benar",1,0)))</f>
        <v>0</v>
      </c>
      <c r="S40" s="8">
        <f>IF(Responses!S40="","",IF(Responses!S40="Benar",2,IF(Responses!S40="Agak Benar",1,0)))</f>
        <v>0</v>
      </c>
      <c r="T40" s="8">
        <f>IF(Responses!T40="","",IF(Responses!T40="Tidak Benar",2,IF(Responses!T40="Agak Benar",1,0)))</f>
        <v>2</v>
      </c>
      <c r="U40" s="8">
        <f>IF(Responses!U40="","",IF(Responses!U40="Benar",2,IF(Responses!U40="Agak Benar",1,0)))</f>
        <v>0</v>
      </c>
      <c r="V40" s="8">
        <f>IF(Responses!V40="","",IF(Responses!V40="Benar",2,IF(Responses!V40="Agak Benar",1,0)))</f>
        <v>1</v>
      </c>
      <c r="W40" s="8">
        <f>IF(Responses!W40="","",IF(Responses!W40="Benar",2,IF(Responses!W40="Agak Benar",1,0)))</f>
        <v>1</v>
      </c>
      <c r="X40" s="8">
        <f>IF(Responses!X40="","",IF(Responses!X40="Benar",2,IF(Responses!X40="Agak Benar",1,0)))</f>
        <v>0</v>
      </c>
      <c r="Y40" s="8">
        <f>IF(Responses!Y40="","",IF(Responses!Y40="Benar",2,IF(Responses!Y40="Agak Benar",1,0)))</f>
        <v>0</v>
      </c>
      <c r="Z40" s="8">
        <f>IF(Responses!Z40="","",IF(Responses!Z40="Benar",2,IF(Responses!Z40="Agak Benar",1,0)))</f>
        <v>1</v>
      </c>
      <c r="AA40" s="8">
        <f>IF(Responses!AA40="","",IF(Responses!AA40="Tidak Benar",2,IF(Responses!AA40="Agak Benar",1,0)))</f>
        <v>0</v>
      </c>
      <c r="AB40" s="8">
        <f>IF(Responses!AB40="","",IF(Responses!AB40="Benar",2,IF(Responses!AB40="Agak Benar",1,0)))</f>
        <v>0</v>
      </c>
      <c r="AC40" s="8">
        <f>IF(Responses!AC40="","",IF(Responses!AC40="Benar",2,IF(Responses!AC40="Agak Benar",1,0)))</f>
        <v>0</v>
      </c>
      <c r="AD40" s="8">
        <f>IF(Responses!AD40="","",IF(Responses!AD40="Benar",2,IF(Responses!AD40="Agak Benar",1,0)))</f>
        <v>0</v>
      </c>
      <c r="AE40" s="8">
        <f>IF(Responses!AE40="","",IF(Responses!AE40="Tidak Benar",2,IF(Responses!AE40="Agak Benar",1,0)))</f>
        <v>1</v>
      </c>
      <c r="AF40" s="20">
        <f t="shared" si="14"/>
        <v>1</v>
      </c>
      <c r="AG40" s="20">
        <f t="shared" si="15"/>
        <v>2</v>
      </c>
      <c r="AH40" s="20">
        <f t="shared" si="16"/>
        <v>3</v>
      </c>
      <c r="AI40" s="20">
        <f t="shared" si="17"/>
        <v>2</v>
      </c>
      <c r="AJ40" s="20">
        <f t="shared" si="18"/>
        <v>5</v>
      </c>
      <c r="AK40" s="20" t="str">
        <f t="shared" si="19"/>
        <v>Normal</v>
      </c>
      <c r="AL40" s="20" t="str">
        <f t="shared" si="20"/>
        <v>Normal</v>
      </c>
      <c r="AM40" s="20" t="str">
        <f t="shared" si="21"/>
        <v>Normal</v>
      </c>
      <c r="AN40" s="20" t="str">
        <f t="shared" si="22"/>
        <v>Normal</v>
      </c>
      <c r="AO40" s="20" t="str">
        <f t="shared" si="23"/>
        <v>Borderline</v>
      </c>
      <c r="AP40" s="20">
        <f t="shared" si="12"/>
        <v>8</v>
      </c>
      <c r="AQ40" s="20" t="str">
        <f t="shared" si="13"/>
        <v>Normal</v>
      </c>
    </row>
    <row r="41" spans="1:43" x14ac:dyDescent="0.3">
      <c r="A41" s="19" t="str">
        <f>Responses!A41</f>
        <v>0VB4J4N</v>
      </c>
      <c r="B41" s="19" t="str">
        <f>Responses!B41</f>
        <v>Y5o85BN</v>
      </c>
      <c r="C41" s="19">
        <f>Responses!C41</f>
        <v>46136.097662037027</v>
      </c>
      <c r="D41" s="19" t="str">
        <f>Responses!D41</f>
        <v>Khansa Tiara Danayafutri</v>
      </c>
      <c r="E41" s="19" t="str">
        <f>Responses!E41</f>
        <v>XI-1</v>
      </c>
      <c r="F41" s="19">
        <f>Responses!F41</f>
        <v>17</v>
      </c>
      <c r="G41" s="8">
        <f>IF(Responses!G41="","",IF(Responses!G41="Benar",2,IF(Responses!G41="Agak Benar",1,0)))</f>
        <v>2</v>
      </c>
      <c r="H41" s="8">
        <f>IF(Responses!H41="","",IF(Responses!H41="Benar",2,IF(Responses!H41="Agak Benar",1,0)))</f>
        <v>0</v>
      </c>
      <c r="I41" s="8">
        <f>IF(Responses!I41="","",IF(Responses!I41="Benar",2,IF(Responses!I41="Agak Benar",1,0)))</f>
        <v>0</v>
      </c>
      <c r="J41" s="8">
        <f>IF(Responses!J41="","",IF(Responses!J41="Benar",2,IF(Responses!J41="Agak Benar",1,0)))</f>
        <v>2</v>
      </c>
      <c r="K41" s="8">
        <f>IF(Responses!K41="","",IF(Responses!K41="Benar",2,IF(Responses!K41="Agak Benar",1,0)))</f>
        <v>0</v>
      </c>
      <c r="L41" s="8">
        <f>IF(Responses!L41="","",IF(Responses!L41="Benar",2,IF(Responses!L41="Agak Benar",1,0)))</f>
        <v>0</v>
      </c>
      <c r="M41" s="8">
        <f>IF(Responses!M41="","",IF(Responses!M41="Tidak Benar",2,IF(Responses!M41="Agak Benar",1,0)))</f>
        <v>0</v>
      </c>
      <c r="N41" s="8">
        <f>IF(Responses!N41="","",IF(Responses!N41="Benar",2,IF(Responses!N41="Agak Benar",1,0)))</f>
        <v>1</v>
      </c>
      <c r="O41" s="8">
        <f>IF(Responses!O41="","",IF(Responses!O41="Benar",2,IF(Responses!O41="Agak Benar",1,0)))</f>
        <v>2</v>
      </c>
      <c r="P41" s="8">
        <f>IF(Responses!P41="","",IF(Responses!P41="Benar",2,IF(Responses!P41="Agak Benar",1,0)))</f>
        <v>1</v>
      </c>
      <c r="Q41" s="8">
        <f>IF(Responses!Q41="","",IF(Responses!Q41="Tidak Benar",2,IF(Responses!Q41="Agak Benar",1,0)))</f>
        <v>0</v>
      </c>
      <c r="R41" s="8">
        <f>IF(Responses!R41="","",IF(Responses!R41="Benar",2,IF(Responses!R41="Agak Benar",1,0)))</f>
        <v>0</v>
      </c>
      <c r="S41" s="8">
        <f>IF(Responses!S41="","",IF(Responses!S41="Benar",2,IF(Responses!S41="Agak Benar",1,0)))</f>
        <v>0</v>
      </c>
      <c r="T41" s="8">
        <f>IF(Responses!T41="","",IF(Responses!T41="Tidak Benar",2,IF(Responses!T41="Agak Benar",1,0)))</f>
        <v>0</v>
      </c>
      <c r="U41" s="8">
        <f>IF(Responses!U41="","",IF(Responses!U41="Benar",2,IF(Responses!U41="Agak Benar",1,0)))</f>
        <v>0</v>
      </c>
      <c r="V41" s="8">
        <f>IF(Responses!V41="","",IF(Responses!V41="Benar",2,IF(Responses!V41="Agak Benar",1,0)))</f>
        <v>0</v>
      </c>
      <c r="W41" s="8">
        <f>IF(Responses!W41="","",IF(Responses!W41="Benar",2,IF(Responses!W41="Agak Benar",1,0)))</f>
        <v>2</v>
      </c>
      <c r="X41" s="8">
        <f>IF(Responses!X41="","",IF(Responses!X41="Benar",2,IF(Responses!X41="Agak Benar",1,0)))</f>
        <v>0</v>
      </c>
      <c r="Y41" s="8">
        <f>IF(Responses!Y41="","",IF(Responses!Y41="Benar",2,IF(Responses!Y41="Agak Benar",1,0)))</f>
        <v>0</v>
      </c>
      <c r="Z41" s="8">
        <f>IF(Responses!Z41="","",IF(Responses!Z41="Benar",2,IF(Responses!Z41="Agak Benar",1,0)))</f>
        <v>2</v>
      </c>
      <c r="AA41" s="8">
        <f>IF(Responses!AA41="","",IF(Responses!AA41="Tidak Benar",2,IF(Responses!AA41="Agak Benar",1,0)))</f>
        <v>0</v>
      </c>
      <c r="AB41" s="8">
        <f>IF(Responses!AB41="","",IF(Responses!AB41="Benar",2,IF(Responses!AB41="Agak Benar",1,0)))</f>
        <v>0</v>
      </c>
      <c r="AC41" s="8">
        <f>IF(Responses!AC41="","",IF(Responses!AC41="Benar",2,IF(Responses!AC41="Agak Benar",1,0)))</f>
        <v>0</v>
      </c>
      <c r="AD41" s="8">
        <f>IF(Responses!AD41="","",IF(Responses!AD41="Benar",2,IF(Responses!AD41="Agak Benar",1,0)))</f>
        <v>0</v>
      </c>
      <c r="AE41" s="8">
        <f>IF(Responses!AE41="","",IF(Responses!AE41="Tidak Benar",2,IF(Responses!AE41="Agak Benar",1,0)))</f>
        <v>0</v>
      </c>
      <c r="AF41" s="20">
        <f t="shared" si="14"/>
        <v>1</v>
      </c>
      <c r="AG41" s="20">
        <f t="shared" si="15"/>
        <v>0</v>
      </c>
      <c r="AH41" s="20">
        <f t="shared" si="16"/>
        <v>1</v>
      </c>
      <c r="AI41" s="20">
        <f t="shared" si="17"/>
        <v>0</v>
      </c>
      <c r="AJ41" s="20">
        <f t="shared" si="18"/>
        <v>10</v>
      </c>
      <c r="AK41" s="20" t="str">
        <f t="shared" si="19"/>
        <v>Normal</v>
      </c>
      <c r="AL41" s="20" t="str">
        <f t="shared" si="20"/>
        <v>Normal</v>
      </c>
      <c r="AM41" s="20" t="str">
        <f t="shared" si="21"/>
        <v>Normal</v>
      </c>
      <c r="AN41" s="20" t="str">
        <f t="shared" si="22"/>
        <v>Normal</v>
      </c>
      <c r="AO41" s="20" t="str">
        <f t="shared" si="23"/>
        <v>Normal</v>
      </c>
      <c r="AP41" s="20">
        <f t="shared" si="12"/>
        <v>2</v>
      </c>
      <c r="AQ41" s="20" t="str">
        <f t="shared" si="13"/>
        <v>Normal</v>
      </c>
    </row>
    <row r="42" spans="1:43" x14ac:dyDescent="0.3">
      <c r="A42" s="19" t="str">
        <f>Responses!A42</f>
        <v>8Na9pgo</v>
      </c>
      <c r="B42" s="19" t="str">
        <f>Responses!B42</f>
        <v>Np4kqdB</v>
      </c>
      <c r="C42" s="19">
        <f>Responses!C42</f>
        <v>46136.097824074073</v>
      </c>
      <c r="D42" s="19" t="str">
        <f>Responses!D42</f>
        <v xml:space="preserve">FIKI DEA LESTARI </v>
      </c>
      <c r="E42" s="19" t="str">
        <f>Responses!E42</f>
        <v>XI-2</v>
      </c>
      <c r="F42" s="19">
        <f>Responses!F42</f>
        <v>18</v>
      </c>
      <c r="G42" s="8">
        <f>IF(Responses!G42="","",IF(Responses!G42="Benar",2,IF(Responses!G42="Agak Benar",1,0)))</f>
        <v>2</v>
      </c>
      <c r="H42" s="8">
        <f>IF(Responses!H42="","",IF(Responses!H42="Benar",2,IF(Responses!H42="Agak Benar",1,0)))</f>
        <v>2</v>
      </c>
      <c r="I42" s="8">
        <f>IF(Responses!I42="","",IF(Responses!I42="Benar",2,IF(Responses!I42="Agak Benar",1,0)))</f>
        <v>1</v>
      </c>
      <c r="J42" s="8">
        <f>IF(Responses!J42="","",IF(Responses!J42="Benar",2,IF(Responses!J42="Agak Benar",1,0)))</f>
        <v>2</v>
      </c>
      <c r="K42" s="8">
        <f>IF(Responses!K42="","",IF(Responses!K42="Benar",2,IF(Responses!K42="Agak Benar",1,0)))</f>
        <v>1</v>
      </c>
      <c r="L42" s="8">
        <f>IF(Responses!L42="","",IF(Responses!L42="Benar",2,IF(Responses!L42="Agak Benar",1,0)))</f>
        <v>0</v>
      </c>
      <c r="M42" s="8">
        <f>IF(Responses!M42="","",IF(Responses!M42="Tidak Benar",2,IF(Responses!M42="Agak Benar",1,0)))</f>
        <v>1</v>
      </c>
      <c r="N42" s="8">
        <f>IF(Responses!N42="","",IF(Responses!N42="Benar",2,IF(Responses!N42="Agak Benar",1,0)))</f>
        <v>0</v>
      </c>
      <c r="O42" s="8">
        <f>IF(Responses!O42="","",IF(Responses!O42="Benar",2,IF(Responses!O42="Agak Benar",1,0)))</f>
        <v>2</v>
      </c>
      <c r="P42" s="8">
        <f>IF(Responses!P42="","",IF(Responses!P42="Benar",2,IF(Responses!P42="Agak Benar",1,0)))</f>
        <v>1</v>
      </c>
      <c r="Q42" s="8">
        <f>IF(Responses!Q42="","",IF(Responses!Q42="Tidak Benar",2,IF(Responses!Q42="Agak Benar",1,0)))</f>
        <v>0</v>
      </c>
      <c r="R42" s="8">
        <f>IF(Responses!R42="","",IF(Responses!R42="Benar",2,IF(Responses!R42="Agak Benar",1,0)))</f>
        <v>0</v>
      </c>
      <c r="S42" s="8">
        <f>IF(Responses!S42="","",IF(Responses!S42="Benar",2,IF(Responses!S42="Agak Benar",1,0)))</f>
        <v>2</v>
      </c>
      <c r="T42" s="8">
        <f>IF(Responses!T42="","",IF(Responses!T42="Tidak Benar",2,IF(Responses!T42="Agak Benar",1,0)))</f>
        <v>1</v>
      </c>
      <c r="U42" s="8">
        <f>IF(Responses!U42="","",IF(Responses!U42="Benar",2,IF(Responses!U42="Agak Benar",1,0)))</f>
        <v>0</v>
      </c>
      <c r="V42" s="8">
        <f>IF(Responses!V42="","",IF(Responses!V42="Benar",2,IF(Responses!V42="Agak Benar",1,0)))</f>
        <v>1</v>
      </c>
      <c r="W42" s="8">
        <f>IF(Responses!W42="","",IF(Responses!W42="Benar",2,IF(Responses!W42="Agak Benar",1,0)))</f>
        <v>1</v>
      </c>
      <c r="X42" s="8">
        <f>IF(Responses!X42="","",IF(Responses!X42="Benar",2,IF(Responses!X42="Agak Benar",1,0)))</f>
        <v>0</v>
      </c>
      <c r="Y42" s="8">
        <f>IF(Responses!Y42="","",IF(Responses!Y42="Benar",2,IF(Responses!Y42="Agak Benar",1,0)))</f>
        <v>0</v>
      </c>
      <c r="Z42" s="8">
        <f>IF(Responses!Z42="","",IF(Responses!Z42="Benar",2,IF(Responses!Z42="Agak Benar",1,0)))</f>
        <v>2</v>
      </c>
      <c r="AA42" s="8">
        <f>IF(Responses!AA42="","",IF(Responses!AA42="Tidak Benar",2,IF(Responses!AA42="Agak Benar",1,0)))</f>
        <v>1</v>
      </c>
      <c r="AB42" s="8">
        <f>IF(Responses!AB42="","",IF(Responses!AB42="Benar",2,IF(Responses!AB42="Agak Benar",1,0)))</f>
        <v>0</v>
      </c>
      <c r="AC42" s="8">
        <f>IF(Responses!AC42="","",IF(Responses!AC42="Benar",2,IF(Responses!AC42="Agak Benar",1,0)))</f>
        <v>0</v>
      </c>
      <c r="AD42" s="8">
        <f>IF(Responses!AD42="","",IF(Responses!AD42="Benar",2,IF(Responses!AD42="Agak Benar",1,0)))</f>
        <v>0</v>
      </c>
      <c r="AE42" s="8">
        <f>IF(Responses!AE42="","",IF(Responses!AE42="Tidak Benar",2,IF(Responses!AE42="Agak Benar",1,0)))</f>
        <v>0</v>
      </c>
      <c r="AF42" s="20">
        <f t="shared" si="14"/>
        <v>4</v>
      </c>
      <c r="AG42" s="20">
        <f t="shared" si="15"/>
        <v>2</v>
      </c>
      <c r="AH42" s="20">
        <f t="shared" si="16"/>
        <v>4</v>
      </c>
      <c r="AI42" s="20">
        <f t="shared" si="17"/>
        <v>1</v>
      </c>
      <c r="AJ42" s="20">
        <f t="shared" si="18"/>
        <v>9</v>
      </c>
      <c r="AK42" s="20" t="str">
        <f t="shared" si="19"/>
        <v>Normal</v>
      </c>
      <c r="AL42" s="20" t="str">
        <f t="shared" si="20"/>
        <v>Normal</v>
      </c>
      <c r="AM42" s="20" t="str">
        <f t="shared" si="21"/>
        <v>Normal</v>
      </c>
      <c r="AN42" s="20" t="str">
        <f t="shared" si="22"/>
        <v>Normal</v>
      </c>
      <c r="AO42" s="20" t="str">
        <f t="shared" si="23"/>
        <v>Normal</v>
      </c>
      <c r="AP42" s="20">
        <f t="shared" si="12"/>
        <v>11</v>
      </c>
      <c r="AQ42" s="20" t="str">
        <f t="shared" si="13"/>
        <v>Normal</v>
      </c>
    </row>
    <row r="43" spans="1:43" x14ac:dyDescent="0.3">
      <c r="A43" s="19" t="str">
        <f>Responses!A43</f>
        <v>aO5WrRX</v>
      </c>
      <c r="B43" s="19" t="str">
        <f>Responses!B43</f>
        <v>5BlRXoP</v>
      </c>
      <c r="C43" s="19">
        <f>Responses!C43</f>
        <v>46136.097870370373</v>
      </c>
      <c r="D43" s="19" t="str">
        <f>Responses!D43</f>
        <v xml:space="preserve">Andhiera Bhara Harry Putra </v>
      </c>
      <c r="E43" s="19" t="str">
        <f>Responses!E43</f>
        <v>XI-2</v>
      </c>
      <c r="F43" s="19">
        <f>Responses!F43</f>
        <v>17</v>
      </c>
      <c r="G43" s="8">
        <f>IF(Responses!G43="","",IF(Responses!G43="Benar",2,IF(Responses!G43="Agak Benar",1,0)))</f>
        <v>1</v>
      </c>
      <c r="H43" s="8">
        <f>IF(Responses!H43="","",IF(Responses!H43="Benar",2,IF(Responses!H43="Agak Benar",1,0)))</f>
        <v>0</v>
      </c>
      <c r="I43" s="8">
        <f>IF(Responses!I43="","",IF(Responses!I43="Benar",2,IF(Responses!I43="Agak Benar",1,0)))</f>
        <v>2</v>
      </c>
      <c r="J43" s="8">
        <f>IF(Responses!J43="","",IF(Responses!J43="Benar",2,IF(Responses!J43="Agak Benar",1,0)))</f>
        <v>1</v>
      </c>
      <c r="K43" s="8">
        <f>IF(Responses!K43="","",IF(Responses!K43="Benar",2,IF(Responses!K43="Agak Benar",1,0)))</f>
        <v>0</v>
      </c>
      <c r="L43" s="8">
        <f>IF(Responses!L43="","",IF(Responses!L43="Benar",2,IF(Responses!L43="Agak Benar",1,0)))</f>
        <v>1</v>
      </c>
      <c r="M43" s="8">
        <f>IF(Responses!M43="","",IF(Responses!M43="Tidak Benar",2,IF(Responses!M43="Agak Benar",1,0)))</f>
        <v>1</v>
      </c>
      <c r="N43" s="8">
        <f>IF(Responses!N43="","",IF(Responses!N43="Benar",2,IF(Responses!N43="Agak Benar",1,0)))</f>
        <v>1</v>
      </c>
      <c r="O43" s="8">
        <f>IF(Responses!O43="","",IF(Responses!O43="Benar",2,IF(Responses!O43="Agak Benar",1,0)))</f>
        <v>1</v>
      </c>
      <c r="P43" s="8">
        <f>IF(Responses!P43="","",IF(Responses!P43="Benar",2,IF(Responses!P43="Agak Benar",1,0)))</f>
        <v>0</v>
      </c>
      <c r="Q43" s="8">
        <f>IF(Responses!Q43="","",IF(Responses!Q43="Tidak Benar",2,IF(Responses!Q43="Agak Benar",1,0)))</f>
        <v>0</v>
      </c>
      <c r="R43" s="8">
        <f>IF(Responses!R43="","",IF(Responses!R43="Benar",2,IF(Responses!R43="Agak Benar",1,0)))</f>
        <v>0</v>
      </c>
      <c r="S43" s="8">
        <f>IF(Responses!S43="","",IF(Responses!S43="Benar",2,IF(Responses!S43="Agak Benar",1,0)))</f>
        <v>1</v>
      </c>
      <c r="T43" s="8">
        <f>IF(Responses!T43="","",IF(Responses!T43="Tidak Benar",2,IF(Responses!T43="Agak Benar",1,0)))</f>
        <v>1</v>
      </c>
      <c r="U43" s="8">
        <f>IF(Responses!U43="","",IF(Responses!U43="Benar",2,IF(Responses!U43="Agak Benar",1,0)))</f>
        <v>1</v>
      </c>
      <c r="V43" s="8">
        <f>IF(Responses!V43="","",IF(Responses!V43="Benar",2,IF(Responses!V43="Agak Benar",1,0)))</f>
        <v>1</v>
      </c>
      <c r="W43" s="8">
        <f>IF(Responses!W43="","",IF(Responses!W43="Benar",2,IF(Responses!W43="Agak Benar",1,0)))</f>
        <v>2</v>
      </c>
      <c r="X43" s="8">
        <f>IF(Responses!X43="","",IF(Responses!X43="Benar",2,IF(Responses!X43="Agak Benar",1,0)))</f>
        <v>1</v>
      </c>
      <c r="Y43" s="8">
        <f>IF(Responses!Y43="","",IF(Responses!Y43="Benar",2,IF(Responses!Y43="Agak Benar",1,0)))</f>
        <v>0</v>
      </c>
      <c r="Z43" s="8">
        <f>IF(Responses!Z43="","",IF(Responses!Z43="Benar",2,IF(Responses!Z43="Agak Benar",1,0)))</f>
        <v>1</v>
      </c>
      <c r="AA43" s="8">
        <f>IF(Responses!AA43="","",IF(Responses!AA43="Tidak Benar",2,IF(Responses!AA43="Agak Benar",1,0)))</f>
        <v>0</v>
      </c>
      <c r="AB43" s="8">
        <f>IF(Responses!AB43="","",IF(Responses!AB43="Benar",2,IF(Responses!AB43="Agak Benar",1,0)))</f>
        <v>0</v>
      </c>
      <c r="AC43" s="8">
        <f>IF(Responses!AC43="","",IF(Responses!AC43="Benar",2,IF(Responses!AC43="Agak Benar",1,0)))</f>
        <v>1</v>
      </c>
      <c r="AD43" s="8">
        <f>IF(Responses!AD43="","",IF(Responses!AD43="Benar",2,IF(Responses!AD43="Agak Benar",1,0)))</f>
        <v>1</v>
      </c>
      <c r="AE43" s="8">
        <f>IF(Responses!AE43="","",IF(Responses!AE43="Tidak Benar",2,IF(Responses!AE43="Agak Benar",1,0)))</f>
        <v>0</v>
      </c>
      <c r="AF43" s="20">
        <f t="shared" si="14"/>
        <v>6</v>
      </c>
      <c r="AG43" s="20">
        <f t="shared" si="15"/>
        <v>2</v>
      </c>
      <c r="AH43" s="20">
        <f t="shared" si="16"/>
        <v>1</v>
      </c>
      <c r="AI43" s="20">
        <f t="shared" si="17"/>
        <v>3</v>
      </c>
      <c r="AJ43" s="20">
        <f t="shared" si="18"/>
        <v>6</v>
      </c>
      <c r="AK43" s="20" t="str">
        <f t="shared" si="19"/>
        <v>Borderline</v>
      </c>
      <c r="AL43" s="20" t="str">
        <f t="shared" si="20"/>
        <v>Normal</v>
      </c>
      <c r="AM43" s="20" t="str">
        <f t="shared" si="21"/>
        <v>Normal</v>
      </c>
      <c r="AN43" s="20" t="str">
        <f t="shared" si="22"/>
        <v>Normal</v>
      </c>
      <c r="AO43" s="20" t="str">
        <f t="shared" si="23"/>
        <v>Normal</v>
      </c>
      <c r="AP43" s="20">
        <f t="shared" si="12"/>
        <v>12</v>
      </c>
      <c r="AQ43" s="20" t="str">
        <f t="shared" si="13"/>
        <v>Normal</v>
      </c>
    </row>
    <row r="44" spans="1:43" x14ac:dyDescent="0.3">
      <c r="A44" s="19" t="str">
        <f>Responses!A44</f>
        <v>VpQr9Gv</v>
      </c>
      <c r="B44" s="19" t="str">
        <f>Responses!B44</f>
        <v>eqN454x</v>
      </c>
      <c r="C44" s="19">
        <f>Responses!C44</f>
        <v>46136.097905092603</v>
      </c>
      <c r="D44" s="19" t="str">
        <f>Responses!D44</f>
        <v xml:space="preserve">Lutfiya Putri Ammara </v>
      </c>
      <c r="E44" s="19" t="str">
        <f>Responses!E44</f>
        <v>XI-2</v>
      </c>
      <c r="F44" s="19">
        <f>Responses!F44</f>
        <v>16</v>
      </c>
      <c r="G44" s="8">
        <f>IF(Responses!G44="","",IF(Responses!G44="Benar",2,IF(Responses!G44="Agak Benar",1,0)))</f>
        <v>2</v>
      </c>
      <c r="H44" s="8">
        <f>IF(Responses!H44="","",IF(Responses!H44="Benar",2,IF(Responses!H44="Agak Benar",1,0)))</f>
        <v>1</v>
      </c>
      <c r="I44" s="8">
        <f>IF(Responses!I44="","",IF(Responses!I44="Benar",2,IF(Responses!I44="Agak Benar",1,0)))</f>
        <v>2</v>
      </c>
      <c r="J44" s="8">
        <f>IF(Responses!J44="","",IF(Responses!J44="Benar",2,IF(Responses!J44="Agak Benar",1,0)))</f>
        <v>2</v>
      </c>
      <c r="K44" s="8">
        <f>IF(Responses!K44="","",IF(Responses!K44="Benar",2,IF(Responses!K44="Agak Benar",1,0)))</f>
        <v>0</v>
      </c>
      <c r="L44" s="8">
        <f>IF(Responses!L44="","",IF(Responses!L44="Benar",2,IF(Responses!L44="Agak Benar",1,0)))</f>
        <v>0</v>
      </c>
      <c r="M44" s="8">
        <f>IF(Responses!M44="","",IF(Responses!M44="Tidak Benar",2,IF(Responses!M44="Agak Benar",1,0)))</f>
        <v>2</v>
      </c>
      <c r="N44" s="8">
        <f>IF(Responses!N44="","",IF(Responses!N44="Benar",2,IF(Responses!N44="Agak Benar",1,0)))</f>
        <v>2</v>
      </c>
      <c r="O44" s="8">
        <f>IF(Responses!O44="","",IF(Responses!O44="Benar",2,IF(Responses!O44="Agak Benar",1,0)))</f>
        <v>2</v>
      </c>
      <c r="P44" s="8">
        <f>IF(Responses!P44="","",IF(Responses!P44="Benar",2,IF(Responses!P44="Agak Benar",1,0)))</f>
        <v>1</v>
      </c>
      <c r="Q44" s="8">
        <f>IF(Responses!Q44="","",IF(Responses!Q44="Tidak Benar",2,IF(Responses!Q44="Agak Benar",1,0)))</f>
        <v>0</v>
      </c>
      <c r="R44" s="8">
        <f>IF(Responses!R44="","",IF(Responses!R44="Benar",2,IF(Responses!R44="Agak Benar",1,0)))</f>
        <v>0</v>
      </c>
      <c r="S44" s="8">
        <f>IF(Responses!S44="","",IF(Responses!S44="Benar",2,IF(Responses!S44="Agak Benar",1,0)))</f>
        <v>1</v>
      </c>
      <c r="T44" s="8">
        <f>IF(Responses!T44="","",IF(Responses!T44="Tidak Benar",2,IF(Responses!T44="Agak Benar",1,0)))</f>
        <v>1</v>
      </c>
      <c r="U44" s="8">
        <f>IF(Responses!U44="","",IF(Responses!U44="Benar",2,IF(Responses!U44="Agak Benar",1,0)))</f>
        <v>1</v>
      </c>
      <c r="V44" s="8">
        <f>IF(Responses!V44="","",IF(Responses!V44="Benar",2,IF(Responses!V44="Agak Benar",1,0)))</f>
        <v>1</v>
      </c>
      <c r="W44" s="8">
        <f>IF(Responses!W44="","",IF(Responses!W44="Benar",2,IF(Responses!W44="Agak Benar",1,0)))</f>
        <v>2</v>
      </c>
      <c r="X44" s="8">
        <f>IF(Responses!X44="","",IF(Responses!X44="Benar",2,IF(Responses!X44="Agak Benar",1,0)))</f>
        <v>0</v>
      </c>
      <c r="Y44" s="8">
        <f>IF(Responses!Y44="","",IF(Responses!Y44="Benar",2,IF(Responses!Y44="Agak Benar",1,0)))</f>
        <v>0</v>
      </c>
      <c r="Z44" s="8">
        <f>IF(Responses!Z44="","",IF(Responses!Z44="Benar",2,IF(Responses!Z44="Agak Benar",1,0)))</f>
        <v>2</v>
      </c>
      <c r="AA44" s="8">
        <f>IF(Responses!AA44="","",IF(Responses!AA44="Tidak Benar",2,IF(Responses!AA44="Agak Benar",1,0)))</f>
        <v>0</v>
      </c>
      <c r="AB44" s="8">
        <f>IF(Responses!AB44="","",IF(Responses!AB44="Benar",2,IF(Responses!AB44="Agak Benar",1,0)))</f>
        <v>0</v>
      </c>
      <c r="AC44" s="8">
        <f>IF(Responses!AC44="","",IF(Responses!AC44="Benar",2,IF(Responses!AC44="Agak Benar",1,0)))</f>
        <v>1</v>
      </c>
      <c r="AD44" s="8">
        <f>IF(Responses!AD44="","",IF(Responses!AD44="Benar",2,IF(Responses!AD44="Agak Benar",1,0)))</f>
        <v>1</v>
      </c>
      <c r="AE44" s="8">
        <f>IF(Responses!AE44="","",IF(Responses!AE44="Tidak Benar",2,IF(Responses!AE44="Agak Benar",1,0)))</f>
        <v>0</v>
      </c>
      <c r="AF44" s="20">
        <f t="shared" si="14"/>
        <v>7</v>
      </c>
      <c r="AG44" s="20">
        <f t="shared" si="15"/>
        <v>2</v>
      </c>
      <c r="AH44" s="20">
        <f t="shared" si="16"/>
        <v>3</v>
      </c>
      <c r="AI44" s="20">
        <f t="shared" si="17"/>
        <v>2</v>
      </c>
      <c r="AJ44" s="20">
        <f t="shared" si="18"/>
        <v>10</v>
      </c>
      <c r="AK44" s="20" t="str">
        <f t="shared" si="19"/>
        <v>Abnormal</v>
      </c>
      <c r="AL44" s="20" t="str">
        <f t="shared" si="20"/>
        <v>Normal</v>
      </c>
      <c r="AM44" s="20" t="str">
        <f t="shared" si="21"/>
        <v>Normal</v>
      </c>
      <c r="AN44" s="20" t="str">
        <f t="shared" si="22"/>
        <v>Normal</v>
      </c>
      <c r="AO44" s="20" t="str">
        <f t="shared" si="23"/>
        <v>Normal</v>
      </c>
      <c r="AP44" s="20">
        <f t="shared" si="12"/>
        <v>14</v>
      </c>
      <c r="AQ44" s="20" t="str">
        <f t="shared" si="13"/>
        <v>Normal</v>
      </c>
    </row>
    <row r="45" spans="1:43" x14ac:dyDescent="0.3">
      <c r="A45" s="19" t="str">
        <f>Responses!A45</f>
        <v>5XjNlGQ</v>
      </c>
      <c r="B45" s="19" t="str">
        <f>Responses!B45</f>
        <v>vG0kMyA</v>
      </c>
      <c r="C45" s="19">
        <f>Responses!C45</f>
        <v>46136.097974537042</v>
      </c>
      <c r="D45" s="19" t="str">
        <f>Responses!D45</f>
        <v xml:space="preserve">Wildan Alfarras </v>
      </c>
      <c r="E45" s="19" t="str">
        <f>Responses!E45</f>
        <v>XI-2</v>
      </c>
      <c r="F45" s="19">
        <f>Responses!F45</f>
        <v>17</v>
      </c>
      <c r="G45" s="8">
        <f>IF(Responses!G45="","",IF(Responses!G45="Benar",2,IF(Responses!G45="Agak Benar",1,0)))</f>
        <v>2</v>
      </c>
      <c r="H45" s="8">
        <f>IF(Responses!H45="","",IF(Responses!H45="Benar",2,IF(Responses!H45="Agak Benar",1,0)))</f>
        <v>1</v>
      </c>
      <c r="I45" s="8">
        <f>IF(Responses!I45="","",IF(Responses!I45="Benar",2,IF(Responses!I45="Agak Benar",1,0)))</f>
        <v>2</v>
      </c>
      <c r="J45" s="8">
        <f>IF(Responses!J45="","",IF(Responses!J45="Benar",2,IF(Responses!J45="Agak Benar",1,0)))</f>
        <v>1</v>
      </c>
      <c r="K45" s="8">
        <f>IF(Responses!K45="","",IF(Responses!K45="Benar",2,IF(Responses!K45="Agak Benar",1,0)))</f>
        <v>0</v>
      </c>
      <c r="L45" s="8">
        <f>IF(Responses!L45="","",IF(Responses!L45="Benar",2,IF(Responses!L45="Agak Benar",1,0)))</f>
        <v>2</v>
      </c>
      <c r="M45" s="8">
        <f>IF(Responses!M45="","",IF(Responses!M45="Tidak Benar",2,IF(Responses!M45="Agak Benar",1,0)))</f>
        <v>0</v>
      </c>
      <c r="N45" s="8">
        <f>IF(Responses!N45="","",IF(Responses!N45="Benar",2,IF(Responses!N45="Agak Benar",1,0)))</f>
        <v>2</v>
      </c>
      <c r="O45" s="8">
        <f>IF(Responses!O45="","",IF(Responses!O45="Benar",2,IF(Responses!O45="Agak Benar",1,0)))</f>
        <v>1</v>
      </c>
      <c r="P45" s="8">
        <f>IF(Responses!P45="","",IF(Responses!P45="Benar",2,IF(Responses!P45="Agak Benar",1,0)))</f>
        <v>2</v>
      </c>
      <c r="Q45" s="8">
        <f>IF(Responses!Q45="","",IF(Responses!Q45="Tidak Benar",2,IF(Responses!Q45="Agak Benar",1,0)))</f>
        <v>2</v>
      </c>
      <c r="R45" s="8">
        <f>IF(Responses!R45="","",IF(Responses!R45="Benar",2,IF(Responses!R45="Agak Benar",1,0)))</f>
        <v>0</v>
      </c>
      <c r="S45" s="8">
        <f>IF(Responses!S45="","",IF(Responses!S45="Benar",2,IF(Responses!S45="Agak Benar",1,0)))</f>
        <v>2</v>
      </c>
      <c r="T45" s="8">
        <f>IF(Responses!T45="","",IF(Responses!T45="Tidak Benar",2,IF(Responses!T45="Agak Benar",1,0)))</f>
        <v>2</v>
      </c>
      <c r="U45" s="8">
        <f>IF(Responses!U45="","",IF(Responses!U45="Benar",2,IF(Responses!U45="Agak Benar",1,0)))</f>
        <v>2</v>
      </c>
      <c r="V45" s="8">
        <f>IF(Responses!V45="","",IF(Responses!V45="Benar",2,IF(Responses!V45="Agak Benar",1,0)))</f>
        <v>2</v>
      </c>
      <c r="W45" s="8">
        <f>IF(Responses!W45="","",IF(Responses!W45="Benar",2,IF(Responses!W45="Agak Benar",1,0)))</f>
        <v>1</v>
      </c>
      <c r="X45" s="8">
        <f>IF(Responses!X45="","",IF(Responses!X45="Benar",2,IF(Responses!X45="Agak Benar",1,0)))</f>
        <v>1</v>
      </c>
      <c r="Y45" s="8">
        <f>IF(Responses!Y45="","",IF(Responses!Y45="Benar",2,IF(Responses!Y45="Agak Benar",1,0)))</f>
        <v>0</v>
      </c>
      <c r="Z45" s="8">
        <f>IF(Responses!Z45="","",IF(Responses!Z45="Benar",2,IF(Responses!Z45="Agak Benar",1,0)))</f>
        <v>2</v>
      </c>
      <c r="AA45" s="8">
        <f>IF(Responses!AA45="","",IF(Responses!AA45="Tidak Benar",2,IF(Responses!AA45="Agak Benar",1,0)))</f>
        <v>0</v>
      </c>
      <c r="AB45" s="8">
        <f>IF(Responses!AB45="","",IF(Responses!AB45="Benar",2,IF(Responses!AB45="Agak Benar",1,0)))</f>
        <v>0</v>
      </c>
      <c r="AC45" s="8">
        <f>IF(Responses!AC45="","",IF(Responses!AC45="Benar",2,IF(Responses!AC45="Agak Benar",1,0)))</f>
        <v>0</v>
      </c>
      <c r="AD45" s="8">
        <f>IF(Responses!AD45="","",IF(Responses!AD45="Benar",2,IF(Responses!AD45="Agak Benar",1,0)))</f>
        <v>1</v>
      </c>
      <c r="AE45" s="8">
        <f>IF(Responses!AE45="","",IF(Responses!AE45="Tidak Benar",2,IF(Responses!AE45="Agak Benar",1,0)))</f>
        <v>1</v>
      </c>
      <c r="AF45" s="20">
        <f t="shared" si="14"/>
        <v>9</v>
      </c>
      <c r="AG45" s="20">
        <f t="shared" si="15"/>
        <v>1</v>
      </c>
      <c r="AH45" s="20">
        <f t="shared" si="16"/>
        <v>6</v>
      </c>
      <c r="AI45" s="20">
        <f t="shared" si="17"/>
        <v>6</v>
      </c>
      <c r="AJ45" s="20">
        <f t="shared" si="18"/>
        <v>7</v>
      </c>
      <c r="AK45" s="20" t="str">
        <f t="shared" si="19"/>
        <v>Abnormal</v>
      </c>
      <c r="AL45" s="20" t="str">
        <f t="shared" si="20"/>
        <v>Normal</v>
      </c>
      <c r="AM45" s="20" t="str">
        <f t="shared" si="21"/>
        <v>Borderline</v>
      </c>
      <c r="AN45" s="20" t="str">
        <f t="shared" si="22"/>
        <v>Abnormal</v>
      </c>
      <c r="AO45" s="20" t="str">
        <f t="shared" si="23"/>
        <v>Normal</v>
      </c>
      <c r="AP45" s="20">
        <f t="shared" si="12"/>
        <v>22</v>
      </c>
      <c r="AQ45" s="20" t="str">
        <f t="shared" si="13"/>
        <v>Abnormal</v>
      </c>
    </row>
    <row r="46" spans="1:43" x14ac:dyDescent="0.3">
      <c r="A46" s="19" t="str">
        <f>Responses!A46</f>
        <v>Eqdp8kB</v>
      </c>
      <c r="B46" s="19" t="str">
        <f>Responses!B46</f>
        <v>WOey2WP</v>
      </c>
      <c r="C46" s="19">
        <f>Responses!C46</f>
        <v>46136.098113425927</v>
      </c>
      <c r="D46" s="19" t="str">
        <f>Responses!D46</f>
        <v xml:space="preserve">Darin Raihana Lutfiyah </v>
      </c>
      <c r="E46" s="19" t="str">
        <f>Responses!E46</f>
        <v>XI-2</v>
      </c>
      <c r="F46" s="19">
        <f>Responses!F46</f>
        <v>17</v>
      </c>
      <c r="G46" s="8">
        <f>IF(Responses!G46="","",IF(Responses!G46="Benar",2,IF(Responses!G46="Agak Benar",1,0)))</f>
        <v>1</v>
      </c>
      <c r="H46" s="8">
        <f>IF(Responses!H46="","",IF(Responses!H46="Benar",2,IF(Responses!H46="Agak Benar",1,0)))</f>
        <v>2</v>
      </c>
      <c r="I46" s="8">
        <f>IF(Responses!I46="","",IF(Responses!I46="Benar",2,IF(Responses!I46="Agak Benar",1,0)))</f>
        <v>0</v>
      </c>
      <c r="J46" s="8">
        <f>IF(Responses!J46="","",IF(Responses!J46="Benar",2,IF(Responses!J46="Agak Benar",1,0)))</f>
        <v>1</v>
      </c>
      <c r="K46" s="8">
        <f>IF(Responses!K46="","",IF(Responses!K46="Benar",2,IF(Responses!K46="Agak Benar",1,0)))</f>
        <v>0</v>
      </c>
      <c r="L46" s="8">
        <f>IF(Responses!L46="","",IF(Responses!L46="Benar",2,IF(Responses!L46="Agak Benar",1,0)))</f>
        <v>0</v>
      </c>
      <c r="M46" s="8">
        <f>IF(Responses!M46="","",IF(Responses!M46="Tidak Benar",2,IF(Responses!M46="Agak Benar",1,0)))</f>
        <v>2</v>
      </c>
      <c r="N46" s="8">
        <f>IF(Responses!N46="","",IF(Responses!N46="Benar",2,IF(Responses!N46="Agak Benar",1,0)))</f>
        <v>0</v>
      </c>
      <c r="O46" s="8">
        <f>IF(Responses!O46="","",IF(Responses!O46="Benar",2,IF(Responses!O46="Agak Benar",1,0)))</f>
        <v>2</v>
      </c>
      <c r="P46" s="8">
        <f>IF(Responses!P46="","",IF(Responses!P46="Benar",2,IF(Responses!P46="Agak Benar",1,0)))</f>
        <v>2</v>
      </c>
      <c r="Q46" s="8">
        <f>IF(Responses!Q46="","",IF(Responses!Q46="Tidak Benar",2,IF(Responses!Q46="Agak Benar",1,0)))</f>
        <v>0</v>
      </c>
      <c r="R46" s="8">
        <f>IF(Responses!R46="","",IF(Responses!R46="Benar",2,IF(Responses!R46="Agak Benar",1,0)))</f>
        <v>1</v>
      </c>
      <c r="S46" s="8">
        <f>IF(Responses!S46="","",IF(Responses!S46="Benar",2,IF(Responses!S46="Agak Benar",1,0)))</f>
        <v>0</v>
      </c>
      <c r="T46" s="8">
        <f>IF(Responses!T46="","",IF(Responses!T46="Tidak Benar",2,IF(Responses!T46="Agak Benar",1,0)))</f>
        <v>0</v>
      </c>
      <c r="U46" s="8">
        <f>IF(Responses!U46="","",IF(Responses!U46="Benar",2,IF(Responses!U46="Agak Benar",1,0)))</f>
        <v>2</v>
      </c>
      <c r="V46" s="8">
        <f>IF(Responses!V46="","",IF(Responses!V46="Benar",2,IF(Responses!V46="Agak Benar",1,0)))</f>
        <v>0</v>
      </c>
      <c r="W46" s="8">
        <f>IF(Responses!W46="","",IF(Responses!W46="Benar",2,IF(Responses!W46="Agak Benar",1,0)))</f>
        <v>2</v>
      </c>
      <c r="X46" s="8">
        <f>IF(Responses!X46="","",IF(Responses!X46="Benar",2,IF(Responses!X46="Agak Benar",1,0)))</f>
        <v>0</v>
      </c>
      <c r="Y46" s="8">
        <f>IF(Responses!Y46="","",IF(Responses!Y46="Benar",2,IF(Responses!Y46="Agak Benar",1,0)))</f>
        <v>0</v>
      </c>
      <c r="Z46" s="8">
        <f>IF(Responses!Z46="","",IF(Responses!Z46="Benar",2,IF(Responses!Z46="Agak Benar",1,0)))</f>
        <v>2</v>
      </c>
      <c r="AA46" s="8">
        <f>IF(Responses!AA46="","",IF(Responses!AA46="Tidak Benar",2,IF(Responses!AA46="Agak Benar",1,0)))</f>
        <v>1</v>
      </c>
      <c r="AB46" s="8">
        <f>IF(Responses!AB46="","",IF(Responses!AB46="Benar",2,IF(Responses!AB46="Agak Benar",1,0)))</f>
        <v>0</v>
      </c>
      <c r="AC46" s="8">
        <f>IF(Responses!AC46="","",IF(Responses!AC46="Benar",2,IF(Responses!AC46="Agak Benar",1,0)))</f>
        <v>1</v>
      </c>
      <c r="AD46" s="8">
        <f>IF(Responses!AD46="","",IF(Responses!AD46="Benar",2,IF(Responses!AD46="Agak Benar",1,0)))</f>
        <v>1</v>
      </c>
      <c r="AE46" s="8">
        <f>IF(Responses!AE46="","",IF(Responses!AE46="Tidak Benar",2,IF(Responses!AE46="Agak Benar",1,0)))</f>
        <v>1</v>
      </c>
      <c r="AF46" s="20">
        <f t="shared" si="14"/>
        <v>1</v>
      </c>
      <c r="AG46" s="20">
        <f t="shared" si="15"/>
        <v>3</v>
      </c>
      <c r="AH46" s="20">
        <f t="shared" si="16"/>
        <v>8</v>
      </c>
      <c r="AI46" s="20">
        <f t="shared" si="17"/>
        <v>1</v>
      </c>
      <c r="AJ46" s="20">
        <f t="shared" si="18"/>
        <v>8</v>
      </c>
      <c r="AK46" s="20" t="str">
        <f t="shared" si="19"/>
        <v>Normal</v>
      </c>
      <c r="AL46" s="20" t="str">
        <f t="shared" si="20"/>
        <v>Normal</v>
      </c>
      <c r="AM46" s="20" t="str">
        <f t="shared" si="21"/>
        <v>Abnormal</v>
      </c>
      <c r="AN46" s="20" t="str">
        <f t="shared" si="22"/>
        <v>Normal</v>
      </c>
      <c r="AO46" s="20" t="str">
        <f t="shared" si="23"/>
        <v>Normal</v>
      </c>
      <c r="AP46" s="20">
        <f t="shared" si="12"/>
        <v>13</v>
      </c>
      <c r="AQ46" s="20" t="str">
        <f t="shared" si="13"/>
        <v>Normal</v>
      </c>
    </row>
    <row r="47" spans="1:43" x14ac:dyDescent="0.3">
      <c r="A47" s="19" t="str">
        <f>Responses!A47</f>
        <v>je6KGzQ</v>
      </c>
      <c r="B47" s="19" t="str">
        <f>Responses!B47</f>
        <v>zx0lNJ1</v>
      </c>
      <c r="C47" s="19">
        <f>Responses!C47</f>
        <v>46136.098217592589</v>
      </c>
      <c r="D47" s="19" t="str">
        <f>Responses!D47</f>
        <v>Maishe Nasywa Zabrina</v>
      </c>
      <c r="E47" s="19" t="str">
        <f>Responses!E47</f>
        <v>XI-2</v>
      </c>
      <c r="F47" s="19">
        <f>Responses!F47</f>
        <v>17</v>
      </c>
      <c r="G47" s="8">
        <f>IF(Responses!G47="","",IF(Responses!G47="Benar",2,IF(Responses!G47="Agak Benar",1,0)))</f>
        <v>2</v>
      </c>
      <c r="H47" s="8">
        <f>IF(Responses!H47="","",IF(Responses!H47="Benar",2,IF(Responses!H47="Agak Benar",1,0)))</f>
        <v>1</v>
      </c>
      <c r="I47" s="8">
        <f>IF(Responses!I47="","",IF(Responses!I47="Benar",2,IF(Responses!I47="Agak Benar",1,0)))</f>
        <v>1</v>
      </c>
      <c r="J47" s="8">
        <f>IF(Responses!J47="","",IF(Responses!J47="Benar",2,IF(Responses!J47="Agak Benar",1,0)))</f>
        <v>1</v>
      </c>
      <c r="K47" s="8">
        <f>IF(Responses!K47="","",IF(Responses!K47="Benar",2,IF(Responses!K47="Agak Benar",1,0)))</f>
        <v>0</v>
      </c>
      <c r="L47" s="8">
        <f>IF(Responses!L47="","",IF(Responses!L47="Benar",2,IF(Responses!L47="Agak Benar",1,0)))</f>
        <v>1</v>
      </c>
      <c r="M47" s="8">
        <f>IF(Responses!M47="","",IF(Responses!M47="Tidak Benar",2,IF(Responses!M47="Agak Benar",1,0)))</f>
        <v>2</v>
      </c>
      <c r="N47" s="8">
        <f>IF(Responses!N47="","",IF(Responses!N47="Benar",2,IF(Responses!N47="Agak Benar",1,0)))</f>
        <v>1</v>
      </c>
      <c r="O47" s="8">
        <f>IF(Responses!O47="","",IF(Responses!O47="Benar",2,IF(Responses!O47="Agak Benar",1,0)))</f>
        <v>1</v>
      </c>
      <c r="P47" s="8">
        <f>IF(Responses!P47="","",IF(Responses!P47="Benar",2,IF(Responses!P47="Agak Benar",1,0)))</f>
        <v>0</v>
      </c>
      <c r="Q47" s="8">
        <f>IF(Responses!Q47="","",IF(Responses!Q47="Tidak Benar",2,IF(Responses!Q47="Agak Benar",1,0)))</f>
        <v>0</v>
      </c>
      <c r="R47" s="8">
        <f>IF(Responses!R47="","",IF(Responses!R47="Benar",2,IF(Responses!R47="Agak Benar",1,0)))</f>
        <v>0</v>
      </c>
      <c r="S47" s="8">
        <f>IF(Responses!S47="","",IF(Responses!S47="Benar",2,IF(Responses!S47="Agak Benar",1,0)))</f>
        <v>0</v>
      </c>
      <c r="T47" s="8">
        <f>IF(Responses!T47="","",IF(Responses!T47="Tidak Benar",2,IF(Responses!T47="Agak Benar",1,0)))</f>
        <v>0</v>
      </c>
      <c r="U47" s="8">
        <f>IF(Responses!U47="","",IF(Responses!U47="Benar",2,IF(Responses!U47="Agak Benar",1,0)))</f>
        <v>0</v>
      </c>
      <c r="V47" s="8">
        <f>IF(Responses!V47="","",IF(Responses!V47="Benar",2,IF(Responses!V47="Agak Benar",1,0)))</f>
        <v>0</v>
      </c>
      <c r="W47" s="8">
        <f>IF(Responses!W47="","",IF(Responses!W47="Benar",2,IF(Responses!W47="Agak Benar",1,0)))</f>
        <v>2</v>
      </c>
      <c r="X47" s="8">
        <f>IF(Responses!X47="","",IF(Responses!X47="Benar",2,IF(Responses!X47="Agak Benar",1,0)))</f>
        <v>0</v>
      </c>
      <c r="Y47" s="8">
        <f>IF(Responses!Y47="","",IF(Responses!Y47="Benar",2,IF(Responses!Y47="Agak Benar",1,0)))</f>
        <v>0</v>
      </c>
      <c r="Z47" s="8">
        <f>IF(Responses!Z47="","",IF(Responses!Z47="Benar",2,IF(Responses!Z47="Agak Benar",1,0)))</f>
        <v>2</v>
      </c>
      <c r="AA47" s="8">
        <f>IF(Responses!AA47="","",IF(Responses!AA47="Tidak Benar",2,IF(Responses!AA47="Agak Benar",1,0)))</f>
        <v>0</v>
      </c>
      <c r="AB47" s="8">
        <f>IF(Responses!AB47="","",IF(Responses!AB47="Benar",2,IF(Responses!AB47="Agak Benar",1,0)))</f>
        <v>0</v>
      </c>
      <c r="AC47" s="8">
        <f>IF(Responses!AC47="","",IF(Responses!AC47="Benar",2,IF(Responses!AC47="Agak Benar",1,0)))</f>
        <v>0</v>
      </c>
      <c r="AD47" s="8">
        <f>IF(Responses!AD47="","",IF(Responses!AD47="Benar",2,IF(Responses!AD47="Agak Benar",1,0)))</f>
        <v>0</v>
      </c>
      <c r="AE47" s="8">
        <f>IF(Responses!AE47="","",IF(Responses!AE47="Tidak Benar",2,IF(Responses!AE47="Agak Benar",1,0)))</f>
        <v>0</v>
      </c>
      <c r="AF47" s="20">
        <f t="shared" si="14"/>
        <v>2</v>
      </c>
      <c r="AG47" s="20">
        <f t="shared" si="15"/>
        <v>2</v>
      </c>
      <c r="AH47" s="20">
        <f t="shared" si="16"/>
        <v>1</v>
      </c>
      <c r="AI47" s="20">
        <f t="shared" si="17"/>
        <v>1</v>
      </c>
      <c r="AJ47" s="20">
        <f t="shared" si="18"/>
        <v>8</v>
      </c>
      <c r="AK47" s="20" t="str">
        <f t="shared" si="19"/>
        <v>Normal</v>
      </c>
      <c r="AL47" s="20" t="str">
        <f t="shared" si="20"/>
        <v>Normal</v>
      </c>
      <c r="AM47" s="20" t="str">
        <f t="shared" si="21"/>
        <v>Normal</v>
      </c>
      <c r="AN47" s="20" t="str">
        <f t="shared" si="22"/>
        <v>Normal</v>
      </c>
      <c r="AO47" s="20" t="str">
        <f t="shared" si="23"/>
        <v>Normal</v>
      </c>
      <c r="AP47" s="20">
        <f t="shared" si="12"/>
        <v>6</v>
      </c>
      <c r="AQ47" s="20" t="str">
        <f t="shared" si="13"/>
        <v>Normal</v>
      </c>
    </row>
    <row r="48" spans="1:43" x14ac:dyDescent="0.3">
      <c r="A48" s="19" t="str">
        <f>Responses!A48</f>
        <v>Eqdp8jL</v>
      </c>
      <c r="B48" s="19" t="str">
        <f>Responses!B48</f>
        <v>ZjG0obo</v>
      </c>
      <c r="C48" s="19">
        <f>Responses!C48</f>
        <v>46136.098310185182</v>
      </c>
      <c r="D48" s="19" t="str">
        <f>Responses!D48</f>
        <v>sabrina maryam</v>
      </c>
      <c r="E48" s="19" t="str">
        <f>Responses!E48</f>
        <v>XI-2</v>
      </c>
      <c r="F48" s="19">
        <f>Responses!F48</f>
        <v>17</v>
      </c>
      <c r="G48" s="8">
        <f>IF(Responses!G48="","",IF(Responses!G48="Benar",2,IF(Responses!G48="Agak Benar",1,0)))</f>
        <v>2</v>
      </c>
      <c r="H48" s="8">
        <f>IF(Responses!H48="","",IF(Responses!H48="Benar",2,IF(Responses!H48="Agak Benar",1,0)))</f>
        <v>1</v>
      </c>
      <c r="I48" s="8">
        <f>IF(Responses!I48="","",IF(Responses!I48="Benar",2,IF(Responses!I48="Agak Benar",1,0)))</f>
        <v>1</v>
      </c>
      <c r="J48" s="8">
        <f>IF(Responses!J48="","",IF(Responses!J48="Benar",2,IF(Responses!J48="Agak Benar",1,0)))</f>
        <v>2</v>
      </c>
      <c r="K48" s="8">
        <f>IF(Responses!K48="","",IF(Responses!K48="Benar",2,IF(Responses!K48="Agak Benar",1,0)))</f>
        <v>1</v>
      </c>
      <c r="L48" s="8">
        <f>IF(Responses!L48="","",IF(Responses!L48="Benar",2,IF(Responses!L48="Agak Benar",1,0)))</f>
        <v>1</v>
      </c>
      <c r="M48" s="8">
        <f>IF(Responses!M48="","",IF(Responses!M48="Tidak Benar",2,IF(Responses!M48="Agak Benar",1,0)))</f>
        <v>0</v>
      </c>
      <c r="N48" s="8">
        <f>IF(Responses!N48="","",IF(Responses!N48="Benar",2,IF(Responses!N48="Agak Benar",1,0)))</f>
        <v>2</v>
      </c>
      <c r="O48" s="8">
        <f>IF(Responses!O48="","",IF(Responses!O48="Benar",2,IF(Responses!O48="Agak Benar",1,0)))</f>
        <v>2</v>
      </c>
      <c r="P48" s="8">
        <f>IF(Responses!P48="","",IF(Responses!P48="Benar",2,IF(Responses!P48="Agak Benar",1,0)))</f>
        <v>1</v>
      </c>
      <c r="Q48" s="8">
        <f>IF(Responses!Q48="","",IF(Responses!Q48="Tidak Benar",2,IF(Responses!Q48="Agak Benar",1,0)))</f>
        <v>0</v>
      </c>
      <c r="R48" s="8">
        <f>IF(Responses!R48="","",IF(Responses!R48="Benar",2,IF(Responses!R48="Agak Benar",1,0)))</f>
        <v>0</v>
      </c>
      <c r="S48" s="8">
        <f>IF(Responses!S48="","",IF(Responses!S48="Benar",2,IF(Responses!S48="Agak Benar",1,0)))</f>
        <v>1</v>
      </c>
      <c r="T48" s="8">
        <f>IF(Responses!T48="","",IF(Responses!T48="Tidak Benar",2,IF(Responses!T48="Agak Benar",1,0)))</f>
        <v>1</v>
      </c>
      <c r="U48" s="8">
        <f>IF(Responses!U48="","",IF(Responses!U48="Benar",2,IF(Responses!U48="Agak Benar",1,0)))</f>
        <v>1</v>
      </c>
      <c r="V48" s="8">
        <f>IF(Responses!V48="","",IF(Responses!V48="Benar",2,IF(Responses!V48="Agak Benar",1,0)))</f>
        <v>2</v>
      </c>
      <c r="W48" s="8">
        <f>IF(Responses!W48="","",IF(Responses!W48="Benar",2,IF(Responses!W48="Agak Benar",1,0)))</f>
        <v>2</v>
      </c>
      <c r="X48" s="8">
        <f>IF(Responses!X48="","",IF(Responses!X48="Benar",2,IF(Responses!X48="Agak Benar",1,0)))</f>
        <v>0</v>
      </c>
      <c r="Y48" s="8">
        <f>IF(Responses!Y48="","",IF(Responses!Y48="Benar",2,IF(Responses!Y48="Agak Benar",1,0)))</f>
        <v>0</v>
      </c>
      <c r="Z48" s="8">
        <f>IF(Responses!Z48="","",IF(Responses!Z48="Benar",2,IF(Responses!Z48="Agak Benar",1,0)))</f>
        <v>1</v>
      </c>
      <c r="AA48" s="8">
        <f>IF(Responses!AA48="","",IF(Responses!AA48="Tidak Benar",2,IF(Responses!AA48="Agak Benar",1,0)))</f>
        <v>1</v>
      </c>
      <c r="AB48" s="8">
        <f>IF(Responses!AB48="","",IF(Responses!AB48="Benar",2,IF(Responses!AB48="Agak Benar",1,0)))</f>
        <v>0</v>
      </c>
      <c r="AC48" s="8">
        <f>IF(Responses!AC48="","",IF(Responses!AC48="Benar",2,IF(Responses!AC48="Agak Benar",1,0)))</f>
        <v>1</v>
      </c>
      <c r="AD48" s="8">
        <f>IF(Responses!AD48="","",IF(Responses!AD48="Benar",2,IF(Responses!AD48="Agak Benar",1,0)))</f>
        <v>2</v>
      </c>
      <c r="AE48" s="8">
        <f>IF(Responses!AE48="","",IF(Responses!AE48="Tidak Benar",2,IF(Responses!AE48="Agak Benar",1,0)))</f>
        <v>1</v>
      </c>
      <c r="AF48" s="20">
        <f t="shared" si="14"/>
        <v>8</v>
      </c>
      <c r="AG48" s="20">
        <f t="shared" si="15"/>
        <v>1</v>
      </c>
      <c r="AH48" s="20">
        <f t="shared" si="16"/>
        <v>5</v>
      </c>
      <c r="AI48" s="20">
        <f t="shared" si="17"/>
        <v>3</v>
      </c>
      <c r="AJ48" s="20">
        <f t="shared" si="18"/>
        <v>9</v>
      </c>
      <c r="AK48" s="20" t="str">
        <f t="shared" si="19"/>
        <v>Abnormal</v>
      </c>
      <c r="AL48" s="20" t="str">
        <f t="shared" si="20"/>
        <v>Normal</v>
      </c>
      <c r="AM48" s="20" t="str">
        <f t="shared" si="21"/>
        <v>Normal</v>
      </c>
      <c r="AN48" s="20" t="str">
        <f t="shared" si="22"/>
        <v>Normal</v>
      </c>
      <c r="AO48" s="20" t="str">
        <f t="shared" si="23"/>
        <v>Normal</v>
      </c>
      <c r="AP48" s="20">
        <f t="shared" si="12"/>
        <v>17</v>
      </c>
      <c r="AQ48" s="20" t="str">
        <f t="shared" si="13"/>
        <v>Borderline</v>
      </c>
    </row>
    <row r="49" spans="1:43" x14ac:dyDescent="0.3">
      <c r="A49" s="19" t="str">
        <f>Responses!A49</f>
        <v>yX2Ojq4</v>
      </c>
      <c r="B49" s="19" t="str">
        <f>Responses!B49</f>
        <v>7RJGLNa</v>
      </c>
      <c r="C49" s="19">
        <f>Responses!C49</f>
        <v>46136.098391203697</v>
      </c>
      <c r="D49" s="19" t="str">
        <f>Responses!D49</f>
        <v>Dzakia Nayla</v>
      </c>
      <c r="E49" s="19" t="str">
        <f>Responses!E49</f>
        <v>XI-2</v>
      </c>
      <c r="F49" s="19">
        <f>Responses!F49</f>
        <v>16</v>
      </c>
      <c r="G49" s="8">
        <f>IF(Responses!G49="","",IF(Responses!G49="Benar",2,IF(Responses!G49="Agak Benar",1,0)))</f>
        <v>2</v>
      </c>
      <c r="H49" s="8">
        <f>IF(Responses!H49="","",IF(Responses!H49="Benar",2,IF(Responses!H49="Agak Benar",1,0)))</f>
        <v>1</v>
      </c>
      <c r="I49" s="8">
        <f>IF(Responses!I49="","",IF(Responses!I49="Benar",2,IF(Responses!I49="Agak Benar",1,0)))</f>
        <v>1</v>
      </c>
      <c r="J49" s="8">
        <f>IF(Responses!J49="","",IF(Responses!J49="Benar",2,IF(Responses!J49="Agak Benar",1,0)))</f>
        <v>1</v>
      </c>
      <c r="K49" s="8">
        <f>IF(Responses!K49="","",IF(Responses!K49="Benar",2,IF(Responses!K49="Agak Benar",1,0)))</f>
        <v>1</v>
      </c>
      <c r="L49" s="8">
        <f>IF(Responses!L49="","",IF(Responses!L49="Benar",2,IF(Responses!L49="Agak Benar",1,0)))</f>
        <v>1</v>
      </c>
      <c r="M49" s="8">
        <f>IF(Responses!M49="","",IF(Responses!M49="Tidak Benar",2,IF(Responses!M49="Agak Benar",1,0)))</f>
        <v>1</v>
      </c>
      <c r="N49" s="8">
        <f>IF(Responses!N49="","",IF(Responses!N49="Benar",2,IF(Responses!N49="Agak Benar",1,0)))</f>
        <v>1</v>
      </c>
      <c r="O49" s="8">
        <f>IF(Responses!O49="","",IF(Responses!O49="Benar",2,IF(Responses!O49="Agak Benar",1,0)))</f>
        <v>2</v>
      </c>
      <c r="P49" s="8">
        <f>IF(Responses!P49="","",IF(Responses!P49="Benar",2,IF(Responses!P49="Agak Benar",1,0)))</f>
        <v>0</v>
      </c>
      <c r="Q49" s="8">
        <f>IF(Responses!Q49="","",IF(Responses!Q49="Tidak Benar",2,IF(Responses!Q49="Agak Benar",1,0)))</f>
        <v>0</v>
      </c>
      <c r="R49" s="8">
        <f>IF(Responses!R49="","",IF(Responses!R49="Benar",2,IF(Responses!R49="Agak Benar",1,0)))</f>
        <v>0</v>
      </c>
      <c r="S49" s="8">
        <f>IF(Responses!S49="","",IF(Responses!S49="Benar",2,IF(Responses!S49="Agak Benar",1,0)))</f>
        <v>1</v>
      </c>
      <c r="T49" s="8">
        <f>IF(Responses!T49="","",IF(Responses!T49="Tidak Benar",2,IF(Responses!T49="Agak Benar",1,0)))</f>
        <v>1</v>
      </c>
      <c r="U49" s="8">
        <f>IF(Responses!U49="","",IF(Responses!U49="Benar",2,IF(Responses!U49="Agak Benar",1,0)))</f>
        <v>2</v>
      </c>
      <c r="V49" s="8">
        <f>IF(Responses!V49="","",IF(Responses!V49="Benar",2,IF(Responses!V49="Agak Benar",1,0)))</f>
        <v>1</v>
      </c>
      <c r="W49" s="8">
        <f>IF(Responses!W49="","",IF(Responses!W49="Benar",2,IF(Responses!W49="Agak Benar",1,0)))</f>
        <v>2</v>
      </c>
      <c r="X49" s="8">
        <f>IF(Responses!X49="","",IF(Responses!X49="Benar",2,IF(Responses!X49="Agak Benar",1,0)))</f>
        <v>0</v>
      </c>
      <c r="Y49" s="8">
        <f>IF(Responses!Y49="","",IF(Responses!Y49="Benar",2,IF(Responses!Y49="Agak Benar",1,0)))</f>
        <v>1</v>
      </c>
      <c r="Z49" s="8">
        <f>IF(Responses!Z49="","",IF(Responses!Z49="Benar",2,IF(Responses!Z49="Agak Benar",1,0)))</f>
        <v>2</v>
      </c>
      <c r="AA49" s="8">
        <f>IF(Responses!AA49="","",IF(Responses!AA49="Tidak Benar",2,IF(Responses!AA49="Agak Benar",1,0)))</f>
        <v>1</v>
      </c>
      <c r="AB49" s="8">
        <f>IF(Responses!AB49="","",IF(Responses!AB49="Benar",2,IF(Responses!AB49="Agak Benar",1,0)))</f>
        <v>0</v>
      </c>
      <c r="AC49" s="8">
        <f>IF(Responses!AC49="","",IF(Responses!AC49="Benar",2,IF(Responses!AC49="Agak Benar",1,0)))</f>
        <v>0</v>
      </c>
      <c r="AD49" s="8">
        <f>IF(Responses!AD49="","",IF(Responses!AD49="Benar",2,IF(Responses!AD49="Agak Benar",1,0)))</f>
        <v>1</v>
      </c>
      <c r="AE49" s="8">
        <f>IF(Responses!AE49="","",IF(Responses!AE49="Tidak Benar",2,IF(Responses!AE49="Agak Benar",1,0)))</f>
        <v>1</v>
      </c>
      <c r="AF49" s="20">
        <f t="shared" si="14"/>
        <v>5</v>
      </c>
      <c r="AG49" s="20">
        <f t="shared" si="15"/>
        <v>2</v>
      </c>
      <c r="AH49" s="20">
        <f t="shared" si="16"/>
        <v>5</v>
      </c>
      <c r="AI49" s="20">
        <f t="shared" si="17"/>
        <v>3</v>
      </c>
      <c r="AJ49" s="20">
        <f t="shared" si="18"/>
        <v>9</v>
      </c>
      <c r="AK49" s="20" t="str">
        <f t="shared" si="19"/>
        <v>Normal</v>
      </c>
      <c r="AL49" s="20" t="str">
        <f t="shared" si="20"/>
        <v>Normal</v>
      </c>
      <c r="AM49" s="20" t="str">
        <f t="shared" si="21"/>
        <v>Normal</v>
      </c>
      <c r="AN49" s="20" t="str">
        <f t="shared" si="22"/>
        <v>Normal</v>
      </c>
      <c r="AO49" s="20" t="str">
        <f t="shared" si="23"/>
        <v>Normal</v>
      </c>
      <c r="AP49" s="20">
        <f t="shared" si="12"/>
        <v>15</v>
      </c>
      <c r="AQ49" s="20" t="str">
        <f t="shared" si="13"/>
        <v>Normal</v>
      </c>
    </row>
    <row r="50" spans="1:43" x14ac:dyDescent="0.3">
      <c r="A50" s="19" t="str">
        <f>Responses!A50</f>
        <v>xVMGRbk</v>
      </c>
      <c r="B50" s="19" t="str">
        <f>Responses!B50</f>
        <v>XxRXo2j</v>
      </c>
      <c r="C50" s="19">
        <f>Responses!C50</f>
        <v>46136.098692129628</v>
      </c>
      <c r="D50" s="19" t="str">
        <f>Responses!D50</f>
        <v>Julia Ayuni</v>
      </c>
      <c r="E50" s="19" t="str">
        <f>Responses!E50</f>
        <v>XI-2</v>
      </c>
      <c r="F50" s="19">
        <f>Responses!F50</f>
        <v>17</v>
      </c>
      <c r="G50" s="8">
        <f>IF(Responses!G50="","",IF(Responses!G50="Benar",2,IF(Responses!G50="Agak Benar",1,0)))</f>
        <v>2</v>
      </c>
      <c r="H50" s="8">
        <f>IF(Responses!H50="","",IF(Responses!H50="Benar",2,IF(Responses!H50="Agak Benar",1,0)))</f>
        <v>0</v>
      </c>
      <c r="I50" s="8">
        <f>IF(Responses!I50="","",IF(Responses!I50="Benar",2,IF(Responses!I50="Agak Benar",1,0)))</f>
        <v>0</v>
      </c>
      <c r="J50" s="8">
        <f>IF(Responses!J50="","",IF(Responses!J50="Benar",2,IF(Responses!J50="Agak Benar",1,0)))</f>
        <v>1</v>
      </c>
      <c r="K50" s="8">
        <f>IF(Responses!K50="","",IF(Responses!K50="Benar",2,IF(Responses!K50="Agak Benar",1,0)))</f>
        <v>0</v>
      </c>
      <c r="L50" s="8">
        <f>IF(Responses!L50="","",IF(Responses!L50="Benar",2,IF(Responses!L50="Agak Benar",1,0)))</f>
        <v>0</v>
      </c>
      <c r="M50" s="8">
        <f>IF(Responses!M50="","",IF(Responses!M50="Tidak Benar",2,IF(Responses!M50="Agak Benar",1,0)))</f>
        <v>2</v>
      </c>
      <c r="N50" s="8">
        <f>IF(Responses!N50="","",IF(Responses!N50="Benar",2,IF(Responses!N50="Agak Benar",1,0)))</f>
        <v>1</v>
      </c>
      <c r="O50" s="8">
        <f>IF(Responses!O50="","",IF(Responses!O50="Benar",2,IF(Responses!O50="Agak Benar",1,0)))</f>
        <v>1</v>
      </c>
      <c r="P50" s="8">
        <f>IF(Responses!P50="","",IF(Responses!P50="Benar",2,IF(Responses!P50="Agak Benar",1,0)))</f>
        <v>2</v>
      </c>
      <c r="Q50" s="8">
        <f>IF(Responses!Q50="","",IF(Responses!Q50="Tidak Benar",2,IF(Responses!Q50="Agak Benar",1,0)))</f>
        <v>0</v>
      </c>
      <c r="R50" s="8">
        <f>IF(Responses!R50="","",IF(Responses!R50="Benar",2,IF(Responses!R50="Agak Benar",1,0)))</f>
        <v>0</v>
      </c>
      <c r="S50" s="8">
        <f>IF(Responses!S50="","",IF(Responses!S50="Benar",2,IF(Responses!S50="Agak Benar",1,0)))</f>
        <v>0</v>
      </c>
      <c r="T50" s="8">
        <f>IF(Responses!T50="","",IF(Responses!T50="Tidak Benar",2,IF(Responses!T50="Agak Benar",1,0)))</f>
        <v>1</v>
      </c>
      <c r="U50" s="8">
        <f>IF(Responses!U50="","",IF(Responses!U50="Benar",2,IF(Responses!U50="Agak Benar",1,0)))</f>
        <v>0</v>
      </c>
      <c r="V50" s="8">
        <f>IF(Responses!V50="","",IF(Responses!V50="Benar",2,IF(Responses!V50="Agak Benar",1,0)))</f>
        <v>1</v>
      </c>
      <c r="W50" s="8">
        <f>IF(Responses!W50="","",IF(Responses!W50="Benar",2,IF(Responses!W50="Agak Benar",1,0)))</f>
        <v>1</v>
      </c>
      <c r="X50" s="8">
        <f>IF(Responses!X50="","",IF(Responses!X50="Benar",2,IF(Responses!X50="Agak Benar",1,0)))</f>
        <v>0</v>
      </c>
      <c r="Y50" s="8">
        <f>IF(Responses!Y50="","",IF(Responses!Y50="Benar",2,IF(Responses!Y50="Agak Benar",1,0)))</f>
        <v>0</v>
      </c>
      <c r="Z50" s="8">
        <f>IF(Responses!Z50="","",IF(Responses!Z50="Benar",2,IF(Responses!Z50="Agak Benar",1,0)))</f>
        <v>1</v>
      </c>
      <c r="AA50" s="8">
        <f>IF(Responses!AA50="","",IF(Responses!AA50="Tidak Benar",2,IF(Responses!AA50="Agak Benar",1,0)))</f>
        <v>1</v>
      </c>
      <c r="AB50" s="8">
        <f>IF(Responses!AB50="","",IF(Responses!AB50="Benar",2,IF(Responses!AB50="Agak Benar",1,0)))</f>
        <v>0</v>
      </c>
      <c r="AC50" s="8">
        <f>IF(Responses!AC50="","",IF(Responses!AC50="Benar",2,IF(Responses!AC50="Agak Benar",1,0)))</f>
        <v>0</v>
      </c>
      <c r="AD50" s="8">
        <f>IF(Responses!AD50="","",IF(Responses!AD50="Benar",2,IF(Responses!AD50="Agak Benar",1,0)))</f>
        <v>0</v>
      </c>
      <c r="AE50" s="8">
        <f>IF(Responses!AE50="","",IF(Responses!AE50="Tidak Benar",2,IF(Responses!AE50="Agak Benar",1,0)))</f>
        <v>1</v>
      </c>
      <c r="AF50" s="20">
        <f t="shared" si="14"/>
        <v>2</v>
      </c>
      <c r="AG50" s="20">
        <f t="shared" si="15"/>
        <v>2</v>
      </c>
      <c r="AH50" s="20">
        <f t="shared" si="16"/>
        <v>4</v>
      </c>
      <c r="AI50" s="20">
        <f t="shared" si="17"/>
        <v>1</v>
      </c>
      <c r="AJ50" s="20">
        <f t="shared" si="18"/>
        <v>6</v>
      </c>
      <c r="AK50" s="20" t="str">
        <f t="shared" si="19"/>
        <v>Normal</v>
      </c>
      <c r="AL50" s="20" t="str">
        <f t="shared" si="20"/>
        <v>Normal</v>
      </c>
      <c r="AM50" s="20" t="str">
        <f t="shared" si="21"/>
        <v>Normal</v>
      </c>
      <c r="AN50" s="20" t="str">
        <f t="shared" si="22"/>
        <v>Normal</v>
      </c>
      <c r="AO50" s="20" t="str">
        <f t="shared" si="23"/>
        <v>Normal</v>
      </c>
      <c r="AP50" s="20">
        <f t="shared" si="12"/>
        <v>9</v>
      </c>
      <c r="AQ50" s="20" t="str">
        <f t="shared" si="13"/>
        <v>Normal</v>
      </c>
    </row>
    <row r="51" spans="1:43" x14ac:dyDescent="0.3">
      <c r="A51" s="19" t="str">
        <f>Responses!A51</f>
        <v>yX2OdE8</v>
      </c>
      <c r="B51" s="19" t="str">
        <f>Responses!B51</f>
        <v>J9V7Od4</v>
      </c>
      <c r="C51" s="19">
        <f>Responses!C51</f>
        <v>46136.098819444444</v>
      </c>
      <c r="D51" s="19" t="str">
        <f>Responses!D51</f>
        <v xml:space="preserve">Briliana Okta Himawari </v>
      </c>
      <c r="E51" s="19" t="str">
        <f>Responses!E51</f>
        <v>XI-2</v>
      </c>
      <c r="F51" s="19">
        <f>Responses!F51</f>
        <v>17</v>
      </c>
      <c r="G51" s="8">
        <f>IF(Responses!G51="","",IF(Responses!G51="Benar",2,IF(Responses!G51="Agak Benar",1,0)))</f>
        <v>2</v>
      </c>
      <c r="H51" s="8">
        <f>IF(Responses!H51="","",IF(Responses!H51="Benar",2,IF(Responses!H51="Agak Benar",1,0)))</f>
        <v>0</v>
      </c>
      <c r="I51" s="8">
        <f>IF(Responses!I51="","",IF(Responses!I51="Benar",2,IF(Responses!I51="Agak Benar",1,0)))</f>
        <v>1</v>
      </c>
      <c r="J51" s="8">
        <f>IF(Responses!J51="","",IF(Responses!J51="Benar",2,IF(Responses!J51="Agak Benar",1,0)))</f>
        <v>2</v>
      </c>
      <c r="K51" s="8">
        <f>IF(Responses!K51="","",IF(Responses!K51="Benar",2,IF(Responses!K51="Agak Benar",1,0)))</f>
        <v>0</v>
      </c>
      <c r="L51" s="8">
        <f>IF(Responses!L51="","",IF(Responses!L51="Benar",2,IF(Responses!L51="Agak Benar",1,0)))</f>
        <v>1</v>
      </c>
      <c r="M51" s="8">
        <f>IF(Responses!M51="","",IF(Responses!M51="Tidak Benar",2,IF(Responses!M51="Agak Benar",1,0)))</f>
        <v>0</v>
      </c>
      <c r="N51" s="8">
        <f>IF(Responses!N51="","",IF(Responses!N51="Benar",2,IF(Responses!N51="Agak Benar",1,0)))</f>
        <v>2</v>
      </c>
      <c r="O51" s="8">
        <f>IF(Responses!O51="","",IF(Responses!O51="Benar",2,IF(Responses!O51="Agak Benar",1,0)))</f>
        <v>2</v>
      </c>
      <c r="P51" s="8">
        <f>IF(Responses!P51="","",IF(Responses!P51="Benar",2,IF(Responses!P51="Agak Benar",1,0)))</f>
        <v>2</v>
      </c>
      <c r="Q51" s="8">
        <f>IF(Responses!Q51="","",IF(Responses!Q51="Tidak Benar",2,IF(Responses!Q51="Agak Benar",1,0)))</f>
        <v>0</v>
      </c>
      <c r="R51" s="8">
        <f>IF(Responses!R51="","",IF(Responses!R51="Benar",2,IF(Responses!R51="Agak Benar",1,0)))</f>
        <v>0</v>
      </c>
      <c r="S51" s="8">
        <f>IF(Responses!S51="","",IF(Responses!S51="Benar",2,IF(Responses!S51="Agak Benar",1,0)))</f>
        <v>2</v>
      </c>
      <c r="T51" s="8">
        <f>IF(Responses!T51="","",IF(Responses!T51="Tidak Benar",2,IF(Responses!T51="Agak Benar",1,0)))</f>
        <v>2</v>
      </c>
      <c r="U51" s="8">
        <f>IF(Responses!U51="","",IF(Responses!U51="Benar",2,IF(Responses!U51="Agak Benar",1,0)))</f>
        <v>2</v>
      </c>
      <c r="V51" s="8">
        <f>IF(Responses!V51="","",IF(Responses!V51="Benar",2,IF(Responses!V51="Agak Benar",1,0)))</f>
        <v>2</v>
      </c>
      <c r="W51" s="8">
        <f>IF(Responses!W51="","",IF(Responses!W51="Benar",2,IF(Responses!W51="Agak Benar",1,0)))</f>
        <v>2</v>
      </c>
      <c r="X51" s="8">
        <f>IF(Responses!X51="","",IF(Responses!X51="Benar",2,IF(Responses!X51="Agak Benar",1,0)))</f>
        <v>1</v>
      </c>
      <c r="Y51" s="8">
        <f>IF(Responses!Y51="","",IF(Responses!Y51="Benar",2,IF(Responses!Y51="Agak Benar",1,0)))</f>
        <v>1</v>
      </c>
      <c r="Z51" s="8">
        <f>IF(Responses!Z51="","",IF(Responses!Z51="Benar",2,IF(Responses!Z51="Agak Benar",1,0)))</f>
        <v>2</v>
      </c>
      <c r="AA51" s="8">
        <f>IF(Responses!AA51="","",IF(Responses!AA51="Tidak Benar",2,IF(Responses!AA51="Agak Benar",1,0)))</f>
        <v>0</v>
      </c>
      <c r="AB51" s="8">
        <f>IF(Responses!AB51="","",IF(Responses!AB51="Benar",2,IF(Responses!AB51="Agak Benar",1,0)))</f>
        <v>0</v>
      </c>
      <c r="AC51" s="8">
        <f>IF(Responses!AC51="","",IF(Responses!AC51="Benar",2,IF(Responses!AC51="Agak Benar",1,0)))</f>
        <v>0</v>
      </c>
      <c r="AD51" s="8">
        <f>IF(Responses!AD51="","",IF(Responses!AD51="Benar",2,IF(Responses!AD51="Agak Benar",1,0)))</f>
        <v>2</v>
      </c>
      <c r="AE51" s="8">
        <f>IF(Responses!AE51="","",IF(Responses!AE51="Tidak Benar",2,IF(Responses!AE51="Agak Benar",1,0)))</f>
        <v>0</v>
      </c>
      <c r="AF51" s="20">
        <f t="shared" si="14"/>
        <v>9</v>
      </c>
      <c r="AG51" s="20">
        <f t="shared" si="15"/>
        <v>1</v>
      </c>
      <c r="AH51" s="20">
        <f t="shared" si="16"/>
        <v>4</v>
      </c>
      <c r="AI51" s="20">
        <f t="shared" si="17"/>
        <v>4</v>
      </c>
      <c r="AJ51" s="20">
        <f t="shared" si="18"/>
        <v>10</v>
      </c>
      <c r="AK51" s="20" t="str">
        <f t="shared" si="19"/>
        <v>Abnormal</v>
      </c>
      <c r="AL51" s="20" t="str">
        <f t="shared" si="20"/>
        <v>Normal</v>
      </c>
      <c r="AM51" s="20" t="str">
        <f t="shared" si="21"/>
        <v>Normal</v>
      </c>
      <c r="AN51" s="20" t="str">
        <f t="shared" si="22"/>
        <v>Borderline</v>
      </c>
      <c r="AO51" s="20" t="str">
        <f t="shared" si="23"/>
        <v>Normal</v>
      </c>
      <c r="AP51" s="20">
        <f t="shared" si="12"/>
        <v>18</v>
      </c>
      <c r="AQ51" s="20" t="str">
        <f t="shared" si="13"/>
        <v>Borderline</v>
      </c>
    </row>
    <row r="52" spans="1:43" x14ac:dyDescent="0.3">
      <c r="A52" s="19" t="str">
        <f>Responses!A52</f>
        <v>Ge9MQV2</v>
      </c>
      <c r="B52" s="19" t="str">
        <f>Responses!B52</f>
        <v>pb0aDR1</v>
      </c>
      <c r="C52" s="19">
        <f>Responses!C52</f>
        <v>46136.098900462966</v>
      </c>
      <c r="D52" s="19" t="str">
        <f>Responses!D52</f>
        <v>Hafizh Al Hakim</v>
      </c>
      <c r="E52" s="19" t="str">
        <f>Responses!E52</f>
        <v>XI-3</v>
      </c>
      <c r="F52" s="19">
        <f>Responses!F52</f>
        <v>17</v>
      </c>
      <c r="G52" s="8">
        <f>IF(Responses!G52="","",IF(Responses!G52="Benar",2,IF(Responses!G52="Agak Benar",1,0)))</f>
        <v>2</v>
      </c>
      <c r="H52" s="8">
        <f>IF(Responses!H52="","",IF(Responses!H52="Benar",2,IF(Responses!H52="Agak Benar",1,0)))</f>
        <v>2</v>
      </c>
      <c r="I52" s="8">
        <f>IF(Responses!I52="","",IF(Responses!I52="Benar",2,IF(Responses!I52="Agak Benar",1,0)))</f>
        <v>1</v>
      </c>
      <c r="J52" s="8">
        <f>IF(Responses!J52="","",IF(Responses!J52="Benar",2,IF(Responses!J52="Agak Benar",1,0)))</f>
        <v>2</v>
      </c>
      <c r="K52" s="8">
        <f>IF(Responses!K52="","",IF(Responses!K52="Benar",2,IF(Responses!K52="Agak Benar",1,0)))</f>
        <v>2</v>
      </c>
      <c r="L52" s="8">
        <f>IF(Responses!L52="","",IF(Responses!L52="Benar",2,IF(Responses!L52="Agak Benar",1,0)))</f>
        <v>0</v>
      </c>
      <c r="M52" s="8">
        <f>IF(Responses!M52="","",IF(Responses!M52="Tidak Benar",2,IF(Responses!M52="Agak Benar",1,0)))</f>
        <v>1</v>
      </c>
      <c r="N52" s="8">
        <f>IF(Responses!N52="","",IF(Responses!N52="Benar",2,IF(Responses!N52="Agak Benar",1,0)))</f>
        <v>2</v>
      </c>
      <c r="O52" s="8">
        <f>IF(Responses!O52="","",IF(Responses!O52="Benar",2,IF(Responses!O52="Agak Benar",1,0)))</f>
        <v>2</v>
      </c>
      <c r="P52" s="8">
        <f>IF(Responses!P52="","",IF(Responses!P52="Benar",2,IF(Responses!P52="Agak Benar",1,0)))</f>
        <v>2</v>
      </c>
      <c r="Q52" s="8">
        <f>IF(Responses!Q52="","",IF(Responses!Q52="Tidak Benar",2,IF(Responses!Q52="Agak Benar",1,0)))</f>
        <v>0</v>
      </c>
      <c r="R52" s="8">
        <f>IF(Responses!R52="","",IF(Responses!R52="Benar",2,IF(Responses!R52="Agak Benar",1,0)))</f>
        <v>2</v>
      </c>
      <c r="S52" s="8">
        <f>IF(Responses!S52="","",IF(Responses!S52="Benar",2,IF(Responses!S52="Agak Benar",1,0)))</f>
        <v>2</v>
      </c>
      <c r="T52" s="8">
        <f>IF(Responses!T52="","",IF(Responses!T52="Tidak Benar",2,IF(Responses!T52="Agak Benar",1,0)))</f>
        <v>0</v>
      </c>
      <c r="U52" s="8">
        <f>IF(Responses!U52="","",IF(Responses!U52="Benar",2,IF(Responses!U52="Agak Benar",1,0)))</f>
        <v>2</v>
      </c>
      <c r="V52" s="8">
        <f>IF(Responses!V52="","",IF(Responses!V52="Benar",2,IF(Responses!V52="Agak Benar",1,0)))</f>
        <v>1</v>
      </c>
      <c r="W52" s="8">
        <f>IF(Responses!W52="","",IF(Responses!W52="Benar",2,IF(Responses!W52="Agak Benar",1,0)))</f>
        <v>2</v>
      </c>
      <c r="X52" s="8">
        <f>IF(Responses!X52="","",IF(Responses!X52="Benar",2,IF(Responses!X52="Agak Benar",1,0)))</f>
        <v>0</v>
      </c>
      <c r="Y52" s="8">
        <f>IF(Responses!Y52="","",IF(Responses!Y52="Benar",2,IF(Responses!Y52="Agak Benar",1,0)))</f>
        <v>0</v>
      </c>
      <c r="Z52" s="8">
        <f>IF(Responses!Z52="","",IF(Responses!Z52="Benar",2,IF(Responses!Z52="Agak Benar",1,0)))</f>
        <v>2</v>
      </c>
      <c r="AA52" s="8">
        <f>IF(Responses!AA52="","",IF(Responses!AA52="Tidak Benar",2,IF(Responses!AA52="Agak Benar",1,0)))</f>
        <v>0</v>
      </c>
      <c r="AB52" s="8">
        <f>IF(Responses!AB52="","",IF(Responses!AB52="Benar",2,IF(Responses!AB52="Agak Benar",1,0)))</f>
        <v>0</v>
      </c>
      <c r="AC52" s="8">
        <f>IF(Responses!AC52="","",IF(Responses!AC52="Benar",2,IF(Responses!AC52="Agak Benar",1,0)))</f>
        <v>1</v>
      </c>
      <c r="AD52" s="8">
        <f>IF(Responses!AD52="","",IF(Responses!AD52="Benar",2,IF(Responses!AD52="Agak Benar",1,0)))</f>
        <v>2</v>
      </c>
      <c r="AE52" s="8">
        <f>IF(Responses!AE52="","",IF(Responses!AE52="Tidak Benar",2,IF(Responses!AE52="Agak Benar",1,0)))</f>
        <v>0</v>
      </c>
      <c r="AF52" s="20">
        <f t="shared" si="14"/>
        <v>8</v>
      </c>
      <c r="AG52" s="20">
        <f t="shared" si="15"/>
        <v>5</v>
      </c>
      <c r="AH52" s="20">
        <f t="shared" si="16"/>
        <v>6</v>
      </c>
      <c r="AI52" s="20">
        <f t="shared" si="17"/>
        <v>1</v>
      </c>
      <c r="AJ52" s="20">
        <f t="shared" si="18"/>
        <v>10</v>
      </c>
      <c r="AK52" s="20" t="str">
        <f t="shared" si="19"/>
        <v>Abnormal</v>
      </c>
      <c r="AL52" s="20" t="str">
        <f t="shared" si="20"/>
        <v>Abnormal</v>
      </c>
      <c r="AM52" s="20" t="str">
        <f t="shared" si="21"/>
        <v>Borderline</v>
      </c>
      <c r="AN52" s="20" t="str">
        <f t="shared" si="22"/>
        <v>Normal</v>
      </c>
      <c r="AO52" s="20" t="str">
        <f t="shared" si="23"/>
        <v>Normal</v>
      </c>
      <c r="AP52" s="20">
        <f t="shared" si="12"/>
        <v>20</v>
      </c>
      <c r="AQ52" s="20" t="str">
        <f t="shared" si="13"/>
        <v>Abnormal</v>
      </c>
    </row>
    <row r="53" spans="1:43" x14ac:dyDescent="0.3">
      <c r="A53" s="19" t="str">
        <f>Responses!A53</f>
        <v>xVMGvJy</v>
      </c>
      <c r="B53" s="19" t="str">
        <f>Responses!B53</f>
        <v>q4Y6R9k</v>
      </c>
      <c r="C53" s="19">
        <f>Responses!C53</f>
        <v>46136.098981481482</v>
      </c>
      <c r="D53" s="19" t="str">
        <f>Responses!D53</f>
        <v>Khansa Shabihah Humaira</v>
      </c>
      <c r="E53" s="19" t="str">
        <f>Responses!E53</f>
        <v>XI-2</v>
      </c>
      <c r="F53" s="19">
        <f>Responses!F53</f>
        <v>17</v>
      </c>
      <c r="G53" s="8">
        <f>IF(Responses!G53="","",IF(Responses!G53="Benar",2,IF(Responses!G53="Agak Benar",1,0)))</f>
        <v>2</v>
      </c>
      <c r="H53" s="8">
        <f>IF(Responses!H53="","",IF(Responses!H53="Benar",2,IF(Responses!H53="Agak Benar",1,0)))</f>
        <v>0</v>
      </c>
      <c r="I53" s="8">
        <f>IF(Responses!I53="","",IF(Responses!I53="Benar",2,IF(Responses!I53="Agak Benar",1,0)))</f>
        <v>0</v>
      </c>
      <c r="J53" s="8">
        <f>IF(Responses!J53="","",IF(Responses!J53="Benar",2,IF(Responses!J53="Agak Benar",1,0)))</f>
        <v>2</v>
      </c>
      <c r="K53" s="8">
        <f>IF(Responses!K53="","",IF(Responses!K53="Benar",2,IF(Responses!K53="Agak Benar",1,0)))</f>
        <v>0</v>
      </c>
      <c r="L53" s="8">
        <f>IF(Responses!L53="","",IF(Responses!L53="Benar",2,IF(Responses!L53="Agak Benar",1,0)))</f>
        <v>0</v>
      </c>
      <c r="M53" s="8">
        <f>IF(Responses!M53="","",IF(Responses!M53="Tidak Benar",2,IF(Responses!M53="Agak Benar",1,0)))</f>
        <v>2</v>
      </c>
      <c r="N53" s="8">
        <f>IF(Responses!N53="","",IF(Responses!N53="Benar",2,IF(Responses!N53="Agak Benar",1,0)))</f>
        <v>1</v>
      </c>
      <c r="O53" s="8">
        <f>IF(Responses!O53="","",IF(Responses!O53="Benar",2,IF(Responses!O53="Agak Benar",1,0)))</f>
        <v>2</v>
      </c>
      <c r="P53" s="8">
        <f>IF(Responses!P53="","",IF(Responses!P53="Benar",2,IF(Responses!P53="Agak Benar",1,0)))</f>
        <v>1</v>
      </c>
      <c r="Q53" s="8">
        <f>IF(Responses!Q53="","",IF(Responses!Q53="Tidak Benar",2,IF(Responses!Q53="Agak Benar",1,0)))</f>
        <v>0</v>
      </c>
      <c r="R53" s="8">
        <f>IF(Responses!R53="","",IF(Responses!R53="Benar",2,IF(Responses!R53="Agak Benar",1,0)))</f>
        <v>0</v>
      </c>
      <c r="S53" s="8">
        <f>IF(Responses!S53="","",IF(Responses!S53="Benar",2,IF(Responses!S53="Agak Benar",1,0)))</f>
        <v>0</v>
      </c>
      <c r="T53" s="8">
        <f>IF(Responses!T53="","",IF(Responses!T53="Tidak Benar",2,IF(Responses!T53="Agak Benar",1,0)))</f>
        <v>0</v>
      </c>
      <c r="U53" s="8">
        <f>IF(Responses!U53="","",IF(Responses!U53="Benar",2,IF(Responses!U53="Agak Benar",1,0)))</f>
        <v>1</v>
      </c>
      <c r="V53" s="8">
        <f>IF(Responses!V53="","",IF(Responses!V53="Benar",2,IF(Responses!V53="Agak Benar",1,0)))</f>
        <v>1</v>
      </c>
      <c r="W53" s="8">
        <f>IF(Responses!W53="","",IF(Responses!W53="Benar",2,IF(Responses!W53="Agak Benar",1,0)))</f>
        <v>2</v>
      </c>
      <c r="X53" s="8">
        <f>IF(Responses!X53="","",IF(Responses!X53="Benar",2,IF(Responses!X53="Agak Benar",1,0)))</f>
        <v>0</v>
      </c>
      <c r="Y53" s="8">
        <f>IF(Responses!Y53="","",IF(Responses!Y53="Benar",2,IF(Responses!Y53="Agak Benar",1,0)))</f>
        <v>0</v>
      </c>
      <c r="Z53" s="8">
        <f>IF(Responses!Z53="","",IF(Responses!Z53="Benar",2,IF(Responses!Z53="Agak Benar",1,0)))</f>
        <v>2</v>
      </c>
      <c r="AA53" s="8">
        <f>IF(Responses!AA53="","",IF(Responses!AA53="Tidak Benar",2,IF(Responses!AA53="Agak Benar",1,0)))</f>
        <v>0</v>
      </c>
      <c r="AB53" s="8">
        <f>IF(Responses!AB53="","",IF(Responses!AB53="Benar",2,IF(Responses!AB53="Agak Benar",1,0)))</f>
        <v>0</v>
      </c>
      <c r="AC53" s="8">
        <f>IF(Responses!AC53="","",IF(Responses!AC53="Benar",2,IF(Responses!AC53="Agak Benar",1,0)))</f>
        <v>0</v>
      </c>
      <c r="AD53" s="8">
        <f>IF(Responses!AD53="","",IF(Responses!AD53="Benar",2,IF(Responses!AD53="Agak Benar",1,0)))</f>
        <v>1</v>
      </c>
      <c r="AE53" s="8">
        <f>IF(Responses!AE53="","",IF(Responses!AE53="Tidak Benar",2,IF(Responses!AE53="Agak Benar",1,0)))</f>
        <v>0</v>
      </c>
      <c r="AF53" s="20">
        <f t="shared" si="14"/>
        <v>3</v>
      </c>
      <c r="AG53" s="20">
        <f t="shared" si="15"/>
        <v>2</v>
      </c>
      <c r="AH53" s="20">
        <f t="shared" si="16"/>
        <v>2</v>
      </c>
      <c r="AI53" s="20">
        <f t="shared" si="17"/>
        <v>0</v>
      </c>
      <c r="AJ53" s="20">
        <f t="shared" si="18"/>
        <v>10</v>
      </c>
      <c r="AK53" s="20" t="str">
        <f t="shared" si="19"/>
        <v>Normal</v>
      </c>
      <c r="AL53" s="20" t="str">
        <f t="shared" si="20"/>
        <v>Normal</v>
      </c>
      <c r="AM53" s="20" t="str">
        <f t="shared" si="21"/>
        <v>Normal</v>
      </c>
      <c r="AN53" s="20" t="str">
        <f t="shared" si="22"/>
        <v>Normal</v>
      </c>
      <c r="AO53" s="20" t="str">
        <f t="shared" si="23"/>
        <v>Normal</v>
      </c>
      <c r="AP53" s="20">
        <f t="shared" si="12"/>
        <v>7</v>
      </c>
      <c r="AQ53" s="20" t="str">
        <f t="shared" si="13"/>
        <v>Normal</v>
      </c>
    </row>
    <row r="54" spans="1:43" x14ac:dyDescent="0.3">
      <c r="A54" s="19" t="str">
        <f>Responses!A54</f>
        <v>o9eJvRe</v>
      </c>
      <c r="B54" s="19" t="str">
        <f>Responses!B54</f>
        <v>xX0KJq9</v>
      </c>
      <c r="C54" s="19">
        <f>Responses!C54</f>
        <v>46136.098969907413</v>
      </c>
      <c r="D54" s="19" t="str">
        <f>Responses!D54</f>
        <v>Javindra Huga</v>
      </c>
      <c r="E54" s="19" t="str">
        <f>Responses!E54</f>
        <v>XI-2</v>
      </c>
      <c r="F54" s="19">
        <f>Responses!F54</f>
        <v>17</v>
      </c>
      <c r="G54" s="8">
        <f>IF(Responses!G54="","",IF(Responses!G54="Benar",2,IF(Responses!G54="Agak Benar",1,0)))</f>
        <v>2</v>
      </c>
      <c r="H54" s="8">
        <f>IF(Responses!H54="","",IF(Responses!H54="Benar",2,IF(Responses!H54="Agak Benar",1,0)))</f>
        <v>0</v>
      </c>
      <c r="I54" s="8">
        <f>IF(Responses!I54="","",IF(Responses!I54="Benar",2,IF(Responses!I54="Agak Benar",1,0)))</f>
        <v>0</v>
      </c>
      <c r="J54" s="8">
        <f>IF(Responses!J54="","",IF(Responses!J54="Benar",2,IF(Responses!J54="Agak Benar",1,0)))</f>
        <v>2</v>
      </c>
      <c r="K54" s="8">
        <f>IF(Responses!K54="","",IF(Responses!K54="Benar",2,IF(Responses!K54="Agak Benar",1,0)))</f>
        <v>0</v>
      </c>
      <c r="L54" s="8">
        <f>IF(Responses!L54="","",IF(Responses!L54="Benar",2,IF(Responses!L54="Agak Benar",1,0)))</f>
        <v>1</v>
      </c>
      <c r="M54" s="8">
        <f>IF(Responses!M54="","",IF(Responses!M54="Tidak Benar",2,IF(Responses!M54="Agak Benar",1,0)))</f>
        <v>2</v>
      </c>
      <c r="N54" s="8">
        <f>IF(Responses!N54="","",IF(Responses!N54="Benar",2,IF(Responses!N54="Agak Benar",1,0)))</f>
        <v>1</v>
      </c>
      <c r="O54" s="8">
        <f>IF(Responses!O54="","",IF(Responses!O54="Benar",2,IF(Responses!O54="Agak Benar",1,0)))</f>
        <v>2</v>
      </c>
      <c r="P54" s="8">
        <f>IF(Responses!P54="","",IF(Responses!P54="Benar",2,IF(Responses!P54="Agak Benar",1,0)))</f>
        <v>1</v>
      </c>
      <c r="Q54" s="8">
        <f>IF(Responses!Q54="","",IF(Responses!Q54="Tidak Benar",2,IF(Responses!Q54="Agak Benar",1,0)))</f>
        <v>0</v>
      </c>
      <c r="R54" s="8">
        <f>IF(Responses!R54="","",IF(Responses!R54="Benar",2,IF(Responses!R54="Agak Benar",1,0)))</f>
        <v>0</v>
      </c>
      <c r="S54" s="8">
        <f>IF(Responses!S54="","",IF(Responses!S54="Benar",2,IF(Responses!S54="Agak Benar",1,0)))</f>
        <v>0</v>
      </c>
      <c r="T54" s="8">
        <f>IF(Responses!T54="","",IF(Responses!T54="Tidak Benar",2,IF(Responses!T54="Agak Benar",1,0)))</f>
        <v>0</v>
      </c>
      <c r="U54" s="8">
        <f>IF(Responses!U54="","",IF(Responses!U54="Benar",2,IF(Responses!U54="Agak Benar",1,0)))</f>
        <v>0</v>
      </c>
      <c r="V54" s="8">
        <f>IF(Responses!V54="","",IF(Responses!V54="Benar",2,IF(Responses!V54="Agak Benar",1,0)))</f>
        <v>1</v>
      </c>
      <c r="W54" s="8">
        <f>IF(Responses!W54="","",IF(Responses!W54="Benar",2,IF(Responses!W54="Agak Benar",1,0)))</f>
        <v>2</v>
      </c>
      <c r="X54" s="8">
        <f>IF(Responses!X54="","",IF(Responses!X54="Benar",2,IF(Responses!X54="Agak Benar",1,0)))</f>
        <v>0</v>
      </c>
      <c r="Y54" s="8">
        <f>IF(Responses!Y54="","",IF(Responses!Y54="Benar",2,IF(Responses!Y54="Agak Benar",1,0)))</f>
        <v>0</v>
      </c>
      <c r="Z54" s="8">
        <f>IF(Responses!Z54="","",IF(Responses!Z54="Benar",2,IF(Responses!Z54="Agak Benar",1,0)))</f>
        <v>2</v>
      </c>
      <c r="AA54" s="8">
        <f>IF(Responses!AA54="","",IF(Responses!AA54="Tidak Benar",2,IF(Responses!AA54="Agak Benar",1,0)))</f>
        <v>0</v>
      </c>
      <c r="AB54" s="8">
        <f>IF(Responses!AB54="","",IF(Responses!AB54="Benar",2,IF(Responses!AB54="Agak Benar",1,0)))</f>
        <v>0</v>
      </c>
      <c r="AC54" s="8">
        <f>IF(Responses!AC54="","",IF(Responses!AC54="Benar",2,IF(Responses!AC54="Agak Benar",1,0)))</f>
        <v>0</v>
      </c>
      <c r="AD54" s="8">
        <f>IF(Responses!AD54="","",IF(Responses!AD54="Benar",2,IF(Responses!AD54="Agak Benar",1,0)))</f>
        <v>2</v>
      </c>
      <c r="AE54" s="8">
        <f>IF(Responses!AE54="","",IF(Responses!AE54="Tidak Benar",2,IF(Responses!AE54="Agak Benar",1,0)))</f>
        <v>0</v>
      </c>
      <c r="AF54" s="20">
        <f t="shared" si="14"/>
        <v>4</v>
      </c>
      <c r="AG54" s="20">
        <f t="shared" si="15"/>
        <v>2</v>
      </c>
      <c r="AH54" s="20">
        <f t="shared" si="16"/>
        <v>1</v>
      </c>
      <c r="AI54" s="20">
        <f t="shared" si="17"/>
        <v>1</v>
      </c>
      <c r="AJ54" s="20">
        <f t="shared" si="18"/>
        <v>10</v>
      </c>
      <c r="AK54" s="20" t="str">
        <f t="shared" si="19"/>
        <v>Normal</v>
      </c>
      <c r="AL54" s="20" t="str">
        <f t="shared" si="20"/>
        <v>Normal</v>
      </c>
      <c r="AM54" s="20" t="str">
        <f t="shared" si="21"/>
        <v>Normal</v>
      </c>
      <c r="AN54" s="20" t="str">
        <f t="shared" si="22"/>
        <v>Normal</v>
      </c>
      <c r="AO54" s="20" t="str">
        <f t="shared" si="23"/>
        <v>Normal</v>
      </c>
      <c r="AP54" s="20">
        <f t="shared" si="12"/>
        <v>8</v>
      </c>
      <c r="AQ54" s="20" t="str">
        <f t="shared" si="13"/>
        <v>Normal</v>
      </c>
    </row>
    <row r="55" spans="1:43" x14ac:dyDescent="0.3">
      <c r="A55" s="19" t="str">
        <f>Responses!A55</f>
        <v>aO5WzEq</v>
      </c>
      <c r="B55" s="19" t="str">
        <f>Responses!B55</f>
        <v>rj07Ajp</v>
      </c>
      <c r="C55" s="19">
        <f>Responses!C55</f>
        <v>46136.099236111113</v>
      </c>
      <c r="D55" s="19" t="str">
        <f>Responses!D55</f>
        <v>Made Viona A.I.S.</v>
      </c>
      <c r="E55" s="19" t="str">
        <f>Responses!E55</f>
        <v>XI-2</v>
      </c>
      <c r="F55" s="19">
        <f>Responses!F55</f>
        <v>17</v>
      </c>
      <c r="G55" s="8">
        <f>IF(Responses!G55="","",IF(Responses!G55="Benar",2,IF(Responses!G55="Agak Benar",1,0)))</f>
        <v>2</v>
      </c>
      <c r="H55" s="8">
        <f>IF(Responses!H55="","",IF(Responses!H55="Benar",2,IF(Responses!H55="Agak Benar",1,0)))</f>
        <v>1</v>
      </c>
      <c r="I55" s="8">
        <f>IF(Responses!I55="","",IF(Responses!I55="Benar",2,IF(Responses!I55="Agak Benar",1,0)))</f>
        <v>1</v>
      </c>
      <c r="J55" s="8">
        <f>IF(Responses!J55="","",IF(Responses!J55="Benar",2,IF(Responses!J55="Agak Benar",1,0)))</f>
        <v>2</v>
      </c>
      <c r="K55" s="8">
        <f>IF(Responses!K55="","",IF(Responses!K55="Benar",2,IF(Responses!K55="Agak Benar",1,0)))</f>
        <v>0</v>
      </c>
      <c r="L55" s="8">
        <f>IF(Responses!L55="","",IF(Responses!L55="Benar",2,IF(Responses!L55="Agak Benar",1,0)))</f>
        <v>0</v>
      </c>
      <c r="M55" s="8">
        <f>IF(Responses!M55="","",IF(Responses!M55="Tidak Benar",2,IF(Responses!M55="Agak Benar",1,0)))</f>
        <v>1</v>
      </c>
      <c r="N55" s="8">
        <f>IF(Responses!N55="","",IF(Responses!N55="Benar",2,IF(Responses!N55="Agak Benar",1,0)))</f>
        <v>1</v>
      </c>
      <c r="O55" s="8">
        <f>IF(Responses!O55="","",IF(Responses!O55="Benar",2,IF(Responses!O55="Agak Benar",1,0)))</f>
        <v>2</v>
      </c>
      <c r="P55" s="8">
        <f>IF(Responses!P55="","",IF(Responses!P55="Benar",2,IF(Responses!P55="Agak Benar",1,0)))</f>
        <v>0</v>
      </c>
      <c r="Q55" s="8">
        <f>IF(Responses!Q55="","",IF(Responses!Q55="Tidak Benar",2,IF(Responses!Q55="Agak Benar",1,0)))</f>
        <v>0</v>
      </c>
      <c r="R55" s="8">
        <f>IF(Responses!R55="","",IF(Responses!R55="Benar",2,IF(Responses!R55="Agak Benar",1,0)))</f>
        <v>0</v>
      </c>
      <c r="S55" s="8">
        <f>IF(Responses!S55="","",IF(Responses!S55="Benar",2,IF(Responses!S55="Agak Benar",1,0)))</f>
        <v>0</v>
      </c>
      <c r="T55" s="8">
        <f>IF(Responses!T55="","",IF(Responses!T55="Tidak Benar",2,IF(Responses!T55="Agak Benar",1,0)))</f>
        <v>1</v>
      </c>
      <c r="U55" s="8">
        <f>IF(Responses!U55="","",IF(Responses!U55="Benar",2,IF(Responses!U55="Agak Benar",1,0)))</f>
        <v>1</v>
      </c>
      <c r="V55" s="8">
        <f>IF(Responses!V55="","",IF(Responses!V55="Benar",2,IF(Responses!V55="Agak Benar",1,0)))</f>
        <v>1</v>
      </c>
      <c r="W55" s="8">
        <f>IF(Responses!W55="","",IF(Responses!W55="Benar",2,IF(Responses!W55="Agak Benar",1,0)))</f>
        <v>1</v>
      </c>
      <c r="X55" s="8">
        <f>IF(Responses!X55="","",IF(Responses!X55="Benar",2,IF(Responses!X55="Agak Benar",1,0)))</f>
        <v>0</v>
      </c>
      <c r="Y55" s="8">
        <f>IF(Responses!Y55="","",IF(Responses!Y55="Benar",2,IF(Responses!Y55="Agak Benar",1,0)))</f>
        <v>0</v>
      </c>
      <c r="Z55" s="8">
        <f>IF(Responses!Z55="","",IF(Responses!Z55="Benar",2,IF(Responses!Z55="Agak Benar",1,0)))</f>
        <v>2</v>
      </c>
      <c r="AA55" s="8">
        <f>IF(Responses!AA55="","",IF(Responses!AA55="Tidak Benar",2,IF(Responses!AA55="Agak Benar",1,0)))</f>
        <v>0</v>
      </c>
      <c r="AB55" s="8">
        <f>IF(Responses!AB55="","",IF(Responses!AB55="Benar",2,IF(Responses!AB55="Agak Benar",1,0)))</f>
        <v>0</v>
      </c>
      <c r="AC55" s="8">
        <f>IF(Responses!AC55="","",IF(Responses!AC55="Benar",2,IF(Responses!AC55="Agak Benar",1,0)))</f>
        <v>0</v>
      </c>
      <c r="AD55" s="8">
        <f>IF(Responses!AD55="","",IF(Responses!AD55="Benar",2,IF(Responses!AD55="Agak Benar",1,0)))</f>
        <v>1</v>
      </c>
      <c r="AE55" s="8">
        <f>IF(Responses!AE55="","",IF(Responses!AE55="Tidak Benar",2,IF(Responses!AE55="Agak Benar",1,0)))</f>
        <v>1</v>
      </c>
      <c r="AF55" s="20">
        <f t="shared" si="14"/>
        <v>4</v>
      </c>
      <c r="AG55" s="20">
        <f t="shared" si="15"/>
        <v>1</v>
      </c>
      <c r="AH55" s="20">
        <f t="shared" si="16"/>
        <v>3</v>
      </c>
      <c r="AI55" s="20">
        <f t="shared" si="17"/>
        <v>1</v>
      </c>
      <c r="AJ55" s="20">
        <f t="shared" si="18"/>
        <v>9</v>
      </c>
      <c r="AK55" s="20" t="str">
        <f t="shared" si="19"/>
        <v>Normal</v>
      </c>
      <c r="AL55" s="20" t="str">
        <f t="shared" si="20"/>
        <v>Normal</v>
      </c>
      <c r="AM55" s="20" t="str">
        <f t="shared" si="21"/>
        <v>Normal</v>
      </c>
      <c r="AN55" s="20" t="str">
        <f t="shared" si="22"/>
        <v>Normal</v>
      </c>
      <c r="AO55" s="20" t="str">
        <f t="shared" si="23"/>
        <v>Normal</v>
      </c>
      <c r="AP55" s="20">
        <f t="shared" si="12"/>
        <v>9</v>
      </c>
      <c r="AQ55" s="20" t="str">
        <f t="shared" si="13"/>
        <v>Normal</v>
      </c>
    </row>
    <row r="56" spans="1:43" x14ac:dyDescent="0.3">
      <c r="A56" s="19" t="str">
        <f>Responses!A56</f>
        <v>je6Kzp1</v>
      </c>
      <c r="B56" s="19" t="str">
        <f>Responses!B56</f>
        <v>vG0ky20</v>
      </c>
      <c r="C56" s="19">
        <f>Responses!C56</f>
        <v>46136.099293981482</v>
      </c>
      <c r="D56" s="19" t="str">
        <f>Responses!D56</f>
        <v>Bima Saengga Cipta</v>
      </c>
      <c r="E56" s="19" t="str">
        <f>Responses!E56</f>
        <v>XI-2</v>
      </c>
      <c r="F56" s="19">
        <f>Responses!F56</f>
        <v>17</v>
      </c>
      <c r="G56" s="8">
        <f>IF(Responses!G56="","",IF(Responses!G56="Benar",2,IF(Responses!G56="Agak Benar",1,0)))</f>
        <v>2</v>
      </c>
      <c r="H56" s="8">
        <f>IF(Responses!H56="","",IF(Responses!H56="Benar",2,IF(Responses!H56="Agak Benar",1,0)))</f>
        <v>1</v>
      </c>
      <c r="I56" s="8">
        <f>IF(Responses!I56="","",IF(Responses!I56="Benar",2,IF(Responses!I56="Agak Benar",1,0)))</f>
        <v>0</v>
      </c>
      <c r="J56" s="8">
        <f>IF(Responses!J56="","",IF(Responses!J56="Benar",2,IF(Responses!J56="Agak Benar",1,0)))</f>
        <v>2</v>
      </c>
      <c r="K56" s="8">
        <f>IF(Responses!K56="","",IF(Responses!K56="Benar",2,IF(Responses!K56="Agak Benar",1,0)))</f>
        <v>0</v>
      </c>
      <c r="L56" s="8">
        <f>IF(Responses!L56="","",IF(Responses!L56="Benar",2,IF(Responses!L56="Agak Benar",1,0)))</f>
        <v>1</v>
      </c>
      <c r="M56" s="8">
        <f>IF(Responses!M56="","",IF(Responses!M56="Tidak Benar",2,IF(Responses!M56="Agak Benar",1,0)))</f>
        <v>1</v>
      </c>
      <c r="N56" s="8">
        <f>IF(Responses!N56="","",IF(Responses!N56="Benar",2,IF(Responses!N56="Agak Benar",1,0)))</f>
        <v>1</v>
      </c>
      <c r="O56" s="8">
        <f>IF(Responses!O56="","",IF(Responses!O56="Benar",2,IF(Responses!O56="Agak Benar",1,0)))</f>
        <v>2</v>
      </c>
      <c r="P56" s="8">
        <f>IF(Responses!P56="","",IF(Responses!P56="Benar",2,IF(Responses!P56="Agak Benar",1,0)))</f>
        <v>1</v>
      </c>
      <c r="Q56" s="8">
        <f>IF(Responses!Q56="","",IF(Responses!Q56="Tidak Benar",2,IF(Responses!Q56="Agak Benar",1,0)))</f>
        <v>0</v>
      </c>
      <c r="R56" s="8">
        <f>IF(Responses!R56="","",IF(Responses!R56="Benar",2,IF(Responses!R56="Agak Benar",1,0)))</f>
        <v>0</v>
      </c>
      <c r="S56" s="8">
        <f>IF(Responses!S56="","",IF(Responses!S56="Benar",2,IF(Responses!S56="Agak Benar",1,0)))</f>
        <v>0</v>
      </c>
      <c r="T56" s="8">
        <f>IF(Responses!T56="","",IF(Responses!T56="Tidak Benar",2,IF(Responses!T56="Agak Benar",1,0)))</f>
        <v>1</v>
      </c>
      <c r="U56" s="8">
        <f>IF(Responses!U56="","",IF(Responses!U56="Benar",2,IF(Responses!U56="Agak Benar",1,0)))</f>
        <v>1</v>
      </c>
      <c r="V56" s="8">
        <f>IF(Responses!V56="","",IF(Responses!V56="Benar",2,IF(Responses!V56="Agak Benar",1,0)))</f>
        <v>1</v>
      </c>
      <c r="W56" s="8">
        <f>IF(Responses!W56="","",IF(Responses!W56="Benar",2,IF(Responses!W56="Agak Benar",1,0)))</f>
        <v>2</v>
      </c>
      <c r="X56" s="8">
        <f>IF(Responses!X56="","",IF(Responses!X56="Benar",2,IF(Responses!X56="Agak Benar",1,0)))</f>
        <v>0</v>
      </c>
      <c r="Y56" s="8">
        <f>IF(Responses!Y56="","",IF(Responses!Y56="Benar",2,IF(Responses!Y56="Agak Benar",1,0)))</f>
        <v>0</v>
      </c>
      <c r="Z56" s="8">
        <f>IF(Responses!Z56="","",IF(Responses!Z56="Benar",2,IF(Responses!Z56="Agak Benar",1,0)))</f>
        <v>2</v>
      </c>
      <c r="AA56" s="8">
        <f>IF(Responses!AA56="","",IF(Responses!AA56="Tidak Benar",2,IF(Responses!AA56="Agak Benar",1,0)))</f>
        <v>0</v>
      </c>
      <c r="AB56" s="8">
        <f>IF(Responses!AB56="","",IF(Responses!AB56="Benar",2,IF(Responses!AB56="Agak Benar",1,0)))</f>
        <v>0</v>
      </c>
      <c r="AC56" s="8">
        <f>IF(Responses!AC56="","",IF(Responses!AC56="Benar",2,IF(Responses!AC56="Agak Benar",1,0)))</f>
        <v>1</v>
      </c>
      <c r="AD56" s="8">
        <f>IF(Responses!AD56="","",IF(Responses!AD56="Benar",2,IF(Responses!AD56="Agak Benar",1,0)))</f>
        <v>0</v>
      </c>
      <c r="AE56" s="8">
        <f>IF(Responses!AE56="","",IF(Responses!AE56="Tidak Benar",2,IF(Responses!AE56="Agak Benar",1,0)))</f>
        <v>0</v>
      </c>
      <c r="AF56" s="20">
        <f t="shared" si="14"/>
        <v>2</v>
      </c>
      <c r="AG56" s="20">
        <f t="shared" si="15"/>
        <v>1</v>
      </c>
      <c r="AH56" s="20">
        <f t="shared" si="16"/>
        <v>3</v>
      </c>
      <c r="AI56" s="20">
        <f t="shared" si="17"/>
        <v>3</v>
      </c>
      <c r="AJ56" s="20">
        <f t="shared" si="18"/>
        <v>10</v>
      </c>
      <c r="AK56" s="20" t="str">
        <f t="shared" si="19"/>
        <v>Normal</v>
      </c>
      <c r="AL56" s="20" t="str">
        <f t="shared" si="20"/>
        <v>Normal</v>
      </c>
      <c r="AM56" s="20" t="str">
        <f t="shared" si="21"/>
        <v>Normal</v>
      </c>
      <c r="AN56" s="20" t="str">
        <f t="shared" si="22"/>
        <v>Normal</v>
      </c>
      <c r="AO56" s="20" t="str">
        <f t="shared" si="23"/>
        <v>Normal</v>
      </c>
      <c r="AP56" s="20">
        <f t="shared" si="12"/>
        <v>9</v>
      </c>
      <c r="AQ56" s="20" t="str">
        <f t="shared" si="13"/>
        <v>Normal</v>
      </c>
    </row>
    <row r="57" spans="1:43" x14ac:dyDescent="0.3">
      <c r="A57" s="19" t="str">
        <f>Responses!A57</f>
        <v>9N9e4KQ</v>
      </c>
      <c r="B57" s="19" t="str">
        <f>Responses!B57</f>
        <v>zx0lDG1</v>
      </c>
      <c r="C57" s="19">
        <f>Responses!C57</f>
        <v>46136.099328703713</v>
      </c>
      <c r="D57" s="19" t="str">
        <f>Responses!D57</f>
        <v>Wigaraya Wibowo</v>
      </c>
      <c r="E57" s="19" t="str">
        <f>Responses!E57</f>
        <v>XI-2</v>
      </c>
      <c r="F57" s="19">
        <f>Responses!F57</f>
        <v>17</v>
      </c>
      <c r="G57" s="8">
        <f>IF(Responses!G57="","",IF(Responses!G57="Benar",2,IF(Responses!G57="Agak Benar",1,0)))</f>
        <v>2</v>
      </c>
      <c r="H57" s="8">
        <f>IF(Responses!H57="","",IF(Responses!H57="Benar",2,IF(Responses!H57="Agak Benar",1,0)))</f>
        <v>1</v>
      </c>
      <c r="I57" s="8">
        <f>IF(Responses!I57="","",IF(Responses!I57="Benar",2,IF(Responses!I57="Agak Benar",1,0)))</f>
        <v>0</v>
      </c>
      <c r="J57" s="8">
        <f>IF(Responses!J57="","",IF(Responses!J57="Benar",2,IF(Responses!J57="Agak Benar",1,0)))</f>
        <v>2</v>
      </c>
      <c r="K57" s="8">
        <f>IF(Responses!K57="","",IF(Responses!K57="Benar",2,IF(Responses!K57="Agak Benar",1,0)))</f>
        <v>0</v>
      </c>
      <c r="L57" s="8">
        <f>IF(Responses!L57="","",IF(Responses!L57="Benar",2,IF(Responses!L57="Agak Benar",1,0)))</f>
        <v>0</v>
      </c>
      <c r="M57" s="8">
        <f>IF(Responses!M57="","",IF(Responses!M57="Tidak Benar",2,IF(Responses!M57="Agak Benar",1,0)))</f>
        <v>2</v>
      </c>
      <c r="N57" s="8">
        <f>IF(Responses!N57="","",IF(Responses!N57="Benar",2,IF(Responses!N57="Agak Benar",1,0)))</f>
        <v>0</v>
      </c>
      <c r="O57" s="8">
        <f>IF(Responses!O57="","",IF(Responses!O57="Benar",2,IF(Responses!O57="Agak Benar",1,0)))</f>
        <v>1</v>
      </c>
      <c r="P57" s="8">
        <f>IF(Responses!P57="","",IF(Responses!P57="Benar",2,IF(Responses!P57="Agak Benar",1,0)))</f>
        <v>0</v>
      </c>
      <c r="Q57" s="8">
        <f>IF(Responses!Q57="","",IF(Responses!Q57="Tidak Benar",2,IF(Responses!Q57="Agak Benar",1,0)))</f>
        <v>1</v>
      </c>
      <c r="R57" s="8">
        <f>IF(Responses!R57="","",IF(Responses!R57="Benar",2,IF(Responses!R57="Agak Benar",1,0)))</f>
        <v>0</v>
      </c>
      <c r="S57" s="8">
        <f>IF(Responses!S57="","",IF(Responses!S57="Benar",2,IF(Responses!S57="Agak Benar",1,0)))</f>
        <v>0</v>
      </c>
      <c r="T57" s="8">
        <f>IF(Responses!T57="","",IF(Responses!T57="Tidak Benar",2,IF(Responses!T57="Agak Benar",1,0)))</f>
        <v>0</v>
      </c>
      <c r="U57" s="8">
        <f>IF(Responses!U57="","",IF(Responses!U57="Benar",2,IF(Responses!U57="Agak Benar",1,0)))</f>
        <v>0</v>
      </c>
      <c r="V57" s="8">
        <f>IF(Responses!V57="","",IF(Responses!V57="Benar",2,IF(Responses!V57="Agak Benar",1,0)))</f>
        <v>0</v>
      </c>
      <c r="W57" s="8">
        <f>IF(Responses!W57="","",IF(Responses!W57="Benar",2,IF(Responses!W57="Agak Benar",1,0)))</f>
        <v>2</v>
      </c>
      <c r="X57" s="8">
        <f>IF(Responses!X57="","",IF(Responses!X57="Benar",2,IF(Responses!X57="Agak Benar",1,0)))</f>
        <v>0</v>
      </c>
      <c r="Y57" s="8">
        <f>IF(Responses!Y57="","",IF(Responses!Y57="Benar",2,IF(Responses!Y57="Agak Benar",1,0)))</f>
        <v>0</v>
      </c>
      <c r="Z57" s="8">
        <f>IF(Responses!Z57="","",IF(Responses!Z57="Benar",2,IF(Responses!Z57="Agak Benar",1,0)))</f>
        <v>1</v>
      </c>
      <c r="AA57" s="8">
        <f>IF(Responses!AA57="","",IF(Responses!AA57="Tidak Benar",2,IF(Responses!AA57="Agak Benar",1,0)))</f>
        <v>0</v>
      </c>
      <c r="AB57" s="8">
        <f>IF(Responses!AB57="","",IF(Responses!AB57="Benar",2,IF(Responses!AB57="Agak Benar",1,0)))</f>
        <v>0</v>
      </c>
      <c r="AC57" s="8">
        <f>IF(Responses!AC57="","",IF(Responses!AC57="Benar",2,IF(Responses!AC57="Agak Benar",1,0)))</f>
        <v>0</v>
      </c>
      <c r="AD57" s="8">
        <f>IF(Responses!AD57="","",IF(Responses!AD57="Benar",2,IF(Responses!AD57="Agak Benar",1,0)))</f>
        <v>0</v>
      </c>
      <c r="AE57" s="8">
        <f>IF(Responses!AE57="","",IF(Responses!AE57="Tidak Benar",2,IF(Responses!AE57="Agak Benar",1,0)))</f>
        <v>1</v>
      </c>
      <c r="AF57" s="20">
        <f t="shared" si="14"/>
        <v>0</v>
      </c>
      <c r="AG57" s="20">
        <f t="shared" si="15"/>
        <v>2</v>
      </c>
      <c r="AH57" s="20">
        <f t="shared" si="16"/>
        <v>2</v>
      </c>
      <c r="AI57" s="20">
        <f t="shared" si="17"/>
        <v>1</v>
      </c>
      <c r="AJ57" s="20">
        <f t="shared" si="18"/>
        <v>8</v>
      </c>
      <c r="AK57" s="20" t="str">
        <f t="shared" si="19"/>
        <v>Normal</v>
      </c>
      <c r="AL57" s="20" t="str">
        <f t="shared" si="20"/>
        <v>Normal</v>
      </c>
      <c r="AM57" s="20" t="str">
        <f t="shared" si="21"/>
        <v>Normal</v>
      </c>
      <c r="AN57" s="20" t="str">
        <f t="shared" si="22"/>
        <v>Normal</v>
      </c>
      <c r="AO57" s="20" t="str">
        <f t="shared" si="23"/>
        <v>Normal</v>
      </c>
      <c r="AP57" s="20">
        <f t="shared" si="12"/>
        <v>5</v>
      </c>
      <c r="AQ57" s="20" t="str">
        <f t="shared" si="13"/>
        <v>Normal</v>
      </c>
    </row>
    <row r="58" spans="1:43" x14ac:dyDescent="0.3">
      <c r="A58" s="19" t="str">
        <f>Responses!A58</f>
        <v>Ge9M7Qo</v>
      </c>
      <c r="B58" s="19" t="str">
        <f>Responses!B58</f>
        <v>gDQ20qK</v>
      </c>
      <c r="C58" s="19">
        <f>Responses!C58</f>
        <v>46136.099479166667</v>
      </c>
      <c r="D58" s="19" t="str">
        <f>Responses!D58</f>
        <v xml:space="preserve">MUHAMMAD KENZEY MAUREY KENAZ KUSNADI </v>
      </c>
      <c r="E58" s="19" t="str">
        <f>Responses!E58</f>
        <v>XI-2</v>
      </c>
      <c r="F58" s="19">
        <f>Responses!F58</f>
        <v>17</v>
      </c>
      <c r="G58" s="8">
        <f>IF(Responses!G58="","",IF(Responses!G58="Benar",2,IF(Responses!G58="Agak Benar",1,0)))</f>
        <v>2</v>
      </c>
      <c r="H58" s="8">
        <f>IF(Responses!H58="","",IF(Responses!H58="Benar",2,IF(Responses!H58="Agak Benar",1,0)))</f>
        <v>2</v>
      </c>
      <c r="I58" s="8">
        <f>IF(Responses!I58="","",IF(Responses!I58="Benar",2,IF(Responses!I58="Agak Benar",1,0)))</f>
        <v>0</v>
      </c>
      <c r="J58" s="8">
        <f>IF(Responses!J58="","",IF(Responses!J58="Benar",2,IF(Responses!J58="Agak Benar",1,0)))</f>
        <v>2</v>
      </c>
      <c r="K58" s="8">
        <f>IF(Responses!K58="","",IF(Responses!K58="Benar",2,IF(Responses!K58="Agak Benar",1,0)))</f>
        <v>0</v>
      </c>
      <c r="L58" s="8">
        <f>IF(Responses!L58="","",IF(Responses!L58="Benar",2,IF(Responses!L58="Agak Benar",1,0)))</f>
        <v>1</v>
      </c>
      <c r="M58" s="8">
        <f>IF(Responses!M58="","",IF(Responses!M58="Tidak Benar",2,IF(Responses!M58="Agak Benar",1,0)))</f>
        <v>2</v>
      </c>
      <c r="N58" s="8">
        <f>IF(Responses!N58="","",IF(Responses!N58="Benar",2,IF(Responses!N58="Agak Benar",1,0)))</f>
        <v>1</v>
      </c>
      <c r="O58" s="8">
        <f>IF(Responses!O58="","",IF(Responses!O58="Benar",2,IF(Responses!O58="Agak Benar",1,0)))</f>
        <v>2</v>
      </c>
      <c r="P58" s="8">
        <f>IF(Responses!P58="","",IF(Responses!P58="Benar",2,IF(Responses!P58="Agak Benar",1,0)))</f>
        <v>1</v>
      </c>
      <c r="Q58" s="8">
        <f>IF(Responses!Q58="","",IF(Responses!Q58="Tidak Benar",2,IF(Responses!Q58="Agak Benar",1,0)))</f>
        <v>0</v>
      </c>
      <c r="R58" s="8">
        <f>IF(Responses!R58="","",IF(Responses!R58="Benar",2,IF(Responses!R58="Agak Benar",1,0)))</f>
        <v>0</v>
      </c>
      <c r="S58" s="8">
        <f>IF(Responses!S58="","",IF(Responses!S58="Benar",2,IF(Responses!S58="Agak Benar",1,0)))</f>
        <v>0</v>
      </c>
      <c r="T58" s="8">
        <f>IF(Responses!T58="","",IF(Responses!T58="Tidak Benar",2,IF(Responses!T58="Agak Benar",1,0)))</f>
        <v>0</v>
      </c>
      <c r="U58" s="8">
        <f>IF(Responses!U58="","",IF(Responses!U58="Benar",2,IF(Responses!U58="Agak Benar",1,0)))</f>
        <v>2</v>
      </c>
      <c r="V58" s="8">
        <f>IF(Responses!V58="","",IF(Responses!V58="Benar",2,IF(Responses!V58="Agak Benar",1,0)))</f>
        <v>1</v>
      </c>
      <c r="W58" s="8">
        <f>IF(Responses!W58="","",IF(Responses!W58="Benar",2,IF(Responses!W58="Agak Benar",1,0)))</f>
        <v>2</v>
      </c>
      <c r="X58" s="8">
        <f>IF(Responses!X58="","",IF(Responses!X58="Benar",2,IF(Responses!X58="Agak Benar",1,0)))</f>
        <v>2</v>
      </c>
      <c r="Y58" s="8">
        <f>IF(Responses!Y58="","",IF(Responses!Y58="Benar",2,IF(Responses!Y58="Agak Benar",1,0)))</f>
        <v>0</v>
      </c>
      <c r="Z58" s="8">
        <f>IF(Responses!Z58="","",IF(Responses!Z58="Benar",2,IF(Responses!Z58="Agak Benar",1,0)))</f>
        <v>1</v>
      </c>
      <c r="AA58" s="8">
        <f>IF(Responses!AA58="","",IF(Responses!AA58="Tidak Benar",2,IF(Responses!AA58="Agak Benar",1,0)))</f>
        <v>0</v>
      </c>
      <c r="AB58" s="8">
        <f>IF(Responses!AB58="","",IF(Responses!AB58="Benar",2,IF(Responses!AB58="Agak Benar",1,0)))</f>
        <v>0</v>
      </c>
      <c r="AC58" s="8">
        <f>IF(Responses!AC58="","",IF(Responses!AC58="Benar",2,IF(Responses!AC58="Agak Benar",1,0)))</f>
        <v>0</v>
      </c>
      <c r="AD58" s="8">
        <f>IF(Responses!AD58="","",IF(Responses!AD58="Benar",2,IF(Responses!AD58="Agak Benar",1,0)))</f>
        <v>0</v>
      </c>
      <c r="AE58" s="8">
        <f>IF(Responses!AE58="","",IF(Responses!AE58="Tidak Benar",2,IF(Responses!AE58="Agak Benar",1,0)))</f>
        <v>1</v>
      </c>
      <c r="AF58" s="20">
        <f t="shared" si="14"/>
        <v>2</v>
      </c>
      <c r="AG58" s="20">
        <f t="shared" si="15"/>
        <v>4</v>
      </c>
      <c r="AH58" s="20">
        <f t="shared" si="16"/>
        <v>6</v>
      </c>
      <c r="AI58" s="20">
        <f t="shared" si="17"/>
        <v>1</v>
      </c>
      <c r="AJ58" s="20">
        <f t="shared" si="18"/>
        <v>9</v>
      </c>
      <c r="AK58" s="20" t="str">
        <f t="shared" si="19"/>
        <v>Normal</v>
      </c>
      <c r="AL58" s="20" t="str">
        <f t="shared" si="20"/>
        <v>Borderline</v>
      </c>
      <c r="AM58" s="20" t="str">
        <f t="shared" si="21"/>
        <v>Borderline</v>
      </c>
      <c r="AN58" s="20" t="str">
        <f t="shared" si="22"/>
        <v>Normal</v>
      </c>
      <c r="AO58" s="20" t="str">
        <f t="shared" si="23"/>
        <v>Normal</v>
      </c>
      <c r="AP58" s="20">
        <f t="shared" si="12"/>
        <v>13</v>
      </c>
      <c r="AQ58" s="20" t="str">
        <f t="shared" si="13"/>
        <v>Normal</v>
      </c>
    </row>
    <row r="59" spans="1:43" x14ac:dyDescent="0.3">
      <c r="A59" s="19" t="str">
        <f>Responses!A59</f>
        <v>Kp5XOxk</v>
      </c>
      <c r="B59" s="19" t="str">
        <f>Responses!B59</f>
        <v>D4XQNRX</v>
      </c>
      <c r="C59" s="19">
        <f>Responses!C59</f>
        <v>46136.099606481483</v>
      </c>
      <c r="D59" s="19" t="str">
        <f>Responses!D59</f>
        <v>sakti dizam satya c</v>
      </c>
      <c r="E59" s="19" t="str">
        <f>Responses!E59</f>
        <v>XI-3</v>
      </c>
      <c r="F59" s="19">
        <f>Responses!F59</f>
        <v>16</v>
      </c>
      <c r="G59" s="8">
        <f>IF(Responses!G59="","",IF(Responses!G59="Benar",2,IF(Responses!G59="Agak Benar",1,0)))</f>
        <v>1</v>
      </c>
      <c r="H59" s="8">
        <f>IF(Responses!H59="","",IF(Responses!H59="Benar",2,IF(Responses!H59="Agak Benar",1,0)))</f>
        <v>1</v>
      </c>
      <c r="I59" s="8">
        <f>IF(Responses!I59="","",IF(Responses!I59="Benar",2,IF(Responses!I59="Agak Benar",1,0)))</f>
        <v>0</v>
      </c>
      <c r="J59" s="8">
        <f>IF(Responses!J59="","",IF(Responses!J59="Benar",2,IF(Responses!J59="Agak Benar",1,0)))</f>
        <v>0</v>
      </c>
      <c r="K59" s="8">
        <f>IF(Responses!K59="","",IF(Responses!K59="Benar",2,IF(Responses!K59="Agak Benar",1,0)))</f>
        <v>1</v>
      </c>
      <c r="L59" s="8">
        <f>IF(Responses!L59="","",IF(Responses!L59="Benar",2,IF(Responses!L59="Agak Benar",1,0)))</f>
        <v>1</v>
      </c>
      <c r="M59" s="8">
        <f>IF(Responses!M59="","",IF(Responses!M59="Tidak Benar",2,IF(Responses!M59="Agak Benar",1,0)))</f>
        <v>1</v>
      </c>
      <c r="N59" s="8">
        <f>IF(Responses!N59="","",IF(Responses!N59="Benar",2,IF(Responses!N59="Agak Benar",1,0)))</f>
        <v>1</v>
      </c>
      <c r="O59" s="8">
        <f>IF(Responses!O59="","",IF(Responses!O59="Benar",2,IF(Responses!O59="Agak Benar",1,0)))</f>
        <v>1</v>
      </c>
      <c r="P59" s="8">
        <f>IF(Responses!P59="","",IF(Responses!P59="Benar",2,IF(Responses!P59="Agak Benar",1,0)))</f>
        <v>1</v>
      </c>
      <c r="Q59" s="8">
        <f>IF(Responses!Q59="","",IF(Responses!Q59="Tidak Benar",2,IF(Responses!Q59="Agak Benar",1,0)))</f>
        <v>1</v>
      </c>
      <c r="R59" s="8">
        <f>IF(Responses!R59="","",IF(Responses!R59="Benar",2,IF(Responses!R59="Agak Benar",1,0)))</f>
        <v>1</v>
      </c>
      <c r="S59" s="8">
        <f>IF(Responses!S59="","",IF(Responses!S59="Benar",2,IF(Responses!S59="Agak Benar",1,0)))</f>
        <v>1</v>
      </c>
      <c r="T59" s="8">
        <f>IF(Responses!T59="","",IF(Responses!T59="Tidak Benar",2,IF(Responses!T59="Agak Benar",1,0)))</f>
        <v>1</v>
      </c>
      <c r="U59" s="8">
        <f>IF(Responses!U59="","",IF(Responses!U59="Benar",2,IF(Responses!U59="Agak Benar",1,0)))</f>
        <v>1</v>
      </c>
      <c r="V59" s="8">
        <f>IF(Responses!V59="","",IF(Responses!V59="Benar",2,IF(Responses!V59="Agak Benar",1,0)))</f>
        <v>1</v>
      </c>
      <c r="W59" s="8">
        <f>IF(Responses!W59="","",IF(Responses!W59="Benar",2,IF(Responses!W59="Agak Benar",1,0)))</f>
        <v>1</v>
      </c>
      <c r="X59" s="8">
        <f>IF(Responses!X59="","",IF(Responses!X59="Benar",2,IF(Responses!X59="Agak Benar",1,0)))</f>
        <v>1</v>
      </c>
      <c r="Y59" s="8">
        <f>IF(Responses!Y59="","",IF(Responses!Y59="Benar",2,IF(Responses!Y59="Agak Benar",1,0)))</f>
        <v>1</v>
      </c>
      <c r="Z59" s="8">
        <f>IF(Responses!Z59="","",IF(Responses!Z59="Benar",2,IF(Responses!Z59="Agak Benar",1,0)))</f>
        <v>1</v>
      </c>
      <c r="AA59" s="8">
        <f>IF(Responses!AA59="","",IF(Responses!AA59="Tidak Benar",2,IF(Responses!AA59="Agak Benar",1,0)))</f>
        <v>1</v>
      </c>
      <c r="AB59" s="8">
        <f>IF(Responses!AB59="","",IF(Responses!AB59="Benar",2,IF(Responses!AB59="Agak Benar",1,0)))</f>
        <v>1</v>
      </c>
      <c r="AC59" s="8">
        <f>IF(Responses!AC59="","",IF(Responses!AC59="Benar",2,IF(Responses!AC59="Agak Benar",1,0)))</f>
        <v>1</v>
      </c>
      <c r="AD59" s="8">
        <f>IF(Responses!AD59="","",IF(Responses!AD59="Benar",2,IF(Responses!AD59="Agak Benar",1,0)))</f>
        <v>1</v>
      </c>
      <c r="AE59" s="8">
        <f>IF(Responses!AE59="","",IF(Responses!AE59="Tidak Benar",2,IF(Responses!AE59="Agak Benar",1,0)))</f>
        <v>1</v>
      </c>
      <c r="AF59" s="20">
        <f t="shared" si="14"/>
        <v>4</v>
      </c>
      <c r="AG59" s="20">
        <f t="shared" si="15"/>
        <v>5</v>
      </c>
      <c r="AH59" s="20">
        <f t="shared" si="16"/>
        <v>5</v>
      </c>
      <c r="AI59" s="20">
        <f t="shared" si="17"/>
        <v>5</v>
      </c>
      <c r="AJ59" s="20">
        <f t="shared" si="18"/>
        <v>4</v>
      </c>
      <c r="AK59" s="20" t="str">
        <f t="shared" si="19"/>
        <v>Normal</v>
      </c>
      <c r="AL59" s="20" t="str">
        <f t="shared" si="20"/>
        <v>Abnormal</v>
      </c>
      <c r="AM59" s="20" t="str">
        <f t="shared" si="21"/>
        <v>Normal</v>
      </c>
      <c r="AN59" s="20" t="str">
        <f t="shared" si="22"/>
        <v>Borderline</v>
      </c>
      <c r="AO59" s="20" t="str">
        <f t="shared" si="23"/>
        <v>Abnormal</v>
      </c>
      <c r="AP59" s="20">
        <f t="shared" si="12"/>
        <v>19</v>
      </c>
      <c r="AQ59" s="20" t="str">
        <f t="shared" si="13"/>
        <v>Borderline</v>
      </c>
    </row>
    <row r="60" spans="1:43" x14ac:dyDescent="0.3">
      <c r="A60" s="19" t="str">
        <f>Responses!A60</f>
        <v>gbdBgzl</v>
      </c>
      <c r="B60" s="19" t="str">
        <f>Responses!B60</f>
        <v>XxRXe0O</v>
      </c>
      <c r="C60" s="19">
        <f>Responses!C60</f>
        <v>46136.099699074082</v>
      </c>
      <c r="D60" s="19" t="str">
        <f>Responses!D60</f>
        <v>Satriyo Rahman Astratama</v>
      </c>
      <c r="E60" s="19" t="str">
        <f>Responses!E60</f>
        <v>XI-2</v>
      </c>
      <c r="F60" s="19">
        <f>Responses!F60</f>
        <v>17</v>
      </c>
      <c r="G60" s="8">
        <f>IF(Responses!G60="","",IF(Responses!G60="Benar",2,IF(Responses!G60="Agak Benar",1,0)))</f>
        <v>2</v>
      </c>
      <c r="H60" s="8">
        <f>IF(Responses!H60="","",IF(Responses!H60="Benar",2,IF(Responses!H60="Agak Benar",1,0)))</f>
        <v>0</v>
      </c>
      <c r="I60" s="8">
        <f>IF(Responses!I60="","",IF(Responses!I60="Benar",2,IF(Responses!I60="Agak Benar",1,0)))</f>
        <v>1</v>
      </c>
      <c r="J60" s="8">
        <f>IF(Responses!J60="","",IF(Responses!J60="Benar",2,IF(Responses!J60="Agak Benar",1,0)))</f>
        <v>0</v>
      </c>
      <c r="K60" s="8">
        <f>IF(Responses!K60="","",IF(Responses!K60="Benar",2,IF(Responses!K60="Agak Benar",1,0)))</f>
        <v>0</v>
      </c>
      <c r="L60" s="8">
        <f>IF(Responses!L60="","",IF(Responses!L60="Benar",2,IF(Responses!L60="Agak Benar",1,0)))</f>
        <v>1</v>
      </c>
      <c r="M60" s="8">
        <f>IF(Responses!M60="","",IF(Responses!M60="Tidak Benar",2,IF(Responses!M60="Agak Benar",1,0)))</f>
        <v>1</v>
      </c>
      <c r="N60" s="8">
        <f>IF(Responses!N60="","",IF(Responses!N60="Benar",2,IF(Responses!N60="Agak Benar",1,0)))</f>
        <v>0</v>
      </c>
      <c r="O60" s="8">
        <f>IF(Responses!O60="","",IF(Responses!O60="Benar",2,IF(Responses!O60="Agak Benar",1,0)))</f>
        <v>1</v>
      </c>
      <c r="P60" s="8">
        <f>IF(Responses!P60="","",IF(Responses!P60="Benar",2,IF(Responses!P60="Agak Benar",1,0)))</f>
        <v>0</v>
      </c>
      <c r="Q60" s="8">
        <f>IF(Responses!Q60="","",IF(Responses!Q60="Tidak Benar",2,IF(Responses!Q60="Agak Benar",1,0)))</f>
        <v>0</v>
      </c>
      <c r="R60" s="8">
        <f>IF(Responses!R60="","",IF(Responses!R60="Benar",2,IF(Responses!R60="Agak Benar",1,0)))</f>
        <v>0</v>
      </c>
      <c r="S60" s="8">
        <f>IF(Responses!S60="","",IF(Responses!S60="Benar",2,IF(Responses!S60="Agak Benar",1,0)))</f>
        <v>0</v>
      </c>
      <c r="T60" s="8">
        <f>IF(Responses!T60="","",IF(Responses!T60="Tidak Benar",2,IF(Responses!T60="Agak Benar",1,0)))</f>
        <v>1</v>
      </c>
      <c r="U60" s="8">
        <f>IF(Responses!U60="","",IF(Responses!U60="Benar",2,IF(Responses!U60="Agak Benar",1,0)))</f>
        <v>0</v>
      </c>
      <c r="V60" s="8">
        <f>IF(Responses!V60="","",IF(Responses!V60="Benar",2,IF(Responses!V60="Agak Benar",1,0)))</f>
        <v>0</v>
      </c>
      <c r="W60" s="8">
        <f>IF(Responses!W60="","",IF(Responses!W60="Benar",2,IF(Responses!W60="Agak Benar",1,0)))</f>
        <v>2</v>
      </c>
      <c r="X60" s="8">
        <f>IF(Responses!X60="","",IF(Responses!X60="Benar",2,IF(Responses!X60="Agak Benar",1,0)))</f>
        <v>0</v>
      </c>
      <c r="Y60" s="8">
        <f>IF(Responses!Y60="","",IF(Responses!Y60="Benar",2,IF(Responses!Y60="Agak Benar",1,0)))</f>
        <v>0</v>
      </c>
      <c r="Z60" s="8">
        <f>IF(Responses!Z60="","",IF(Responses!Z60="Benar",2,IF(Responses!Z60="Agak Benar",1,0)))</f>
        <v>1</v>
      </c>
      <c r="AA60" s="8">
        <f>IF(Responses!AA60="","",IF(Responses!AA60="Tidak Benar",2,IF(Responses!AA60="Agak Benar",1,0)))</f>
        <v>0</v>
      </c>
      <c r="AB60" s="8">
        <f>IF(Responses!AB60="","",IF(Responses!AB60="Benar",2,IF(Responses!AB60="Agak Benar",1,0)))</f>
        <v>0</v>
      </c>
      <c r="AC60" s="8">
        <f>IF(Responses!AC60="","",IF(Responses!AC60="Benar",2,IF(Responses!AC60="Agak Benar",1,0)))</f>
        <v>1</v>
      </c>
      <c r="AD60" s="8">
        <f>IF(Responses!AD60="","",IF(Responses!AD60="Benar",2,IF(Responses!AD60="Agak Benar",1,0)))</f>
        <v>0</v>
      </c>
      <c r="AE60" s="8">
        <f>IF(Responses!AE60="","",IF(Responses!AE60="Tidak Benar",2,IF(Responses!AE60="Agak Benar",1,0)))</f>
        <v>0</v>
      </c>
      <c r="AF60" s="20">
        <f t="shared" si="14"/>
        <v>1</v>
      </c>
      <c r="AG60" s="20">
        <f t="shared" si="15"/>
        <v>1</v>
      </c>
      <c r="AH60" s="20">
        <f t="shared" si="16"/>
        <v>0</v>
      </c>
      <c r="AI60" s="20">
        <f t="shared" si="17"/>
        <v>3</v>
      </c>
      <c r="AJ60" s="20">
        <f t="shared" si="18"/>
        <v>6</v>
      </c>
      <c r="AK60" s="20" t="str">
        <f t="shared" si="19"/>
        <v>Normal</v>
      </c>
      <c r="AL60" s="20" t="str">
        <f t="shared" si="20"/>
        <v>Normal</v>
      </c>
      <c r="AM60" s="20" t="str">
        <f t="shared" si="21"/>
        <v>Normal</v>
      </c>
      <c r="AN60" s="20" t="str">
        <f t="shared" si="22"/>
        <v>Normal</v>
      </c>
      <c r="AO60" s="20" t="str">
        <f t="shared" si="23"/>
        <v>Normal</v>
      </c>
      <c r="AP60" s="20">
        <f t="shared" si="12"/>
        <v>5</v>
      </c>
      <c r="AQ60" s="20" t="str">
        <f t="shared" si="13"/>
        <v>Normal</v>
      </c>
    </row>
    <row r="61" spans="1:43" x14ac:dyDescent="0.3">
      <c r="A61" s="19" t="str">
        <f>Responses!A61</f>
        <v>Kp5Xgok</v>
      </c>
      <c r="B61" s="19" t="str">
        <f>Responses!B61</f>
        <v>A76ZlEo</v>
      </c>
      <c r="C61" s="19">
        <f>Responses!C61</f>
        <v>46136.099849537037</v>
      </c>
      <c r="D61" s="19" t="str">
        <f>Responses!D61</f>
        <v>Muhammad Pratama Ardyansyah</v>
      </c>
      <c r="E61" s="19" t="str">
        <f>Responses!E61</f>
        <v>XI-3</v>
      </c>
      <c r="F61" s="19">
        <f>Responses!F61</f>
        <v>16</v>
      </c>
      <c r="G61" s="8">
        <f>IF(Responses!G61="","",IF(Responses!G61="Benar",2,IF(Responses!G61="Agak Benar",1,0)))</f>
        <v>2</v>
      </c>
      <c r="H61" s="8">
        <f>IF(Responses!H61="","",IF(Responses!H61="Benar",2,IF(Responses!H61="Agak Benar",1,0)))</f>
        <v>1</v>
      </c>
      <c r="I61" s="8">
        <f>IF(Responses!I61="","",IF(Responses!I61="Benar",2,IF(Responses!I61="Agak Benar",1,0)))</f>
        <v>2</v>
      </c>
      <c r="J61" s="8">
        <f>IF(Responses!J61="","",IF(Responses!J61="Benar",2,IF(Responses!J61="Agak Benar",1,0)))</f>
        <v>2</v>
      </c>
      <c r="K61" s="8">
        <f>IF(Responses!K61="","",IF(Responses!K61="Benar",2,IF(Responses!K61="Agak Benar",1,0)))</f>
        <v>2</v>
      </c>
      <c r="L61" s="8">
        <f>IF(Responses!L61="","",IF(Responses!L61="Benar",2,IF(Responses!L61="Agak Benar",1,0)))</f>
        <v>2</v>
      </c>
      <c r="M61" s="8">
        <f>IF(Responses!M61="","",IF(Responses!M61="Tidak Benar",2,IF(Responses!M61="Agak Benar",1,0)))</f>
        <v>0</v>
      </c>
      <c r="N61" s="8">
        <f>IF(Responses!N61="","",IF(Responses!N61="Benar",2,IF(Responses!N61="Agak Benar",1,0)))</f>
        <v>1</v>
      </c>
      <c r="O61" s="8">
        <f>IF(Responses!O61="","",IF(Responses!O61="Benar",2,IF(Responses!O61="Agak Benar",1,0)))</f>
        <v>2</v>
      </c>
      <c r="P61" s="8">
        <f>IF(Responses!P61="","",IF(Responses!P61="Benar",2,IF(Responses!P61="Agak Benar",1,0)))</f>
        <v>1</v>
      </c>
      <c r="Q61" s="8">
        <f>IF(Responses!Q61="","",IF(Responses!Q61="Tidak Benar",2,IF(Responses!Q61="Agak Benar",1,0)))</f>
        <v>0</v>
      </c>
      <c r="R61" s="8">
        <f>IF(Responses!R61="","",IF(Responses!R61="Benar",2,IF(Responses!R61="Agak Benar",1,0)))</f>
        <v>2</v>
      </c>
      <c r="S61" s="8">
        <f>IF(Responses!S61="","",IF(Responses!S61="Benar",2,IF(Responses!S61="Agak Benar",1,0)))</f>
        <v>2</v>
      </c>
      <c r="T61" s="8">
        <f>IF(Responses!T61="","",IF(Responses!T61="Tidak Benar",2,IF(Responses!T61="Agak Benar",1,0)))</f>
        <v>0</v>
      </c>
      <c r="U61" s="8">
        <f>IF(Responses!U61="","",IF(Responses!U61="Benar",2,IF(Responses!U61="Agak Benar",1,0)))</f>
        <v>2</v>
      </c>
      <c r="V61" s="8">
        <f>IF(Responses!V61="","",IF(Responses!V61="Benar",2,IF(Responses!V61="Agak Benar",1,0)))</f>
        <v>2</v>
      </c>
      <c r="W61" s="8">
        <f>IF(Responses!W61="","",IF(Responses!W61="Benar",2,IF(Responses!W61="Agak Benar",1,0)))</f>
        <v>1</v>
      </c>
      <c r="X61" s="8">
        <f>IF(Responses!X61="","",IF(Responses!X61="Benar",2,IF(Responses!X61="Agak Benar",1,0)))</f>
        <v>2</v>
      </c>
      <c r="Y61" s="8">
        <f>IF(Responses!Y61="","",IF(Responses!Y61="Benar",2,IF(Responses!Y61="Agak Benar",1,0)))</f>
        <v>1</v>
      </c>
      <c r="Z61" s="8">
        <f>IF(Responses!Z61="","",IF(Responses!Z61="Benar",2,IF(Responses!Z61="Agak Benar",1,0)))</f>
        <v>1</v>
      </c>
      <c r="AA61" s="8">
        <f>IF(Responses!AA61="","",IF(Responses!AA61="Tidak Benar",2,IF(Responses!AA61="Agak Benar",1,0)))</f>
        <v>0</v>
      </c>
      <c r="AB61" s="8">
        <f>IF(Responses!AB61="","",IF(Responses!AB61="Benar",2,IF(Responses!AB61="Agak Benar",1,0)))</f>
        <v>1</v>
      </c>
      <c r="AC61" s="8">
        <f>IF(Responses!AC61="","",IF(Responses!AC61="Benar",2,IF(Responses!AC61="Agak Benar",1,0)))</f>
        <v>2</v>
      </c>
      <c r="AD61" s="8">
        <f>IF(Responses!AD61="","",IF(Responses!AD61="Benar",2,IF(Responses!AD61="Agak Benar",1,0)))</f>
        <v>1</v>
      </c>
      <c r="AE61" s="8">
        <f>IF(Responses!AE61="","",IF(Responses!AE61="Tidak Benar",2,IF(Responses!AE61="Agak Benar",1,0)))</f>
        <v>0</v>
      </c>
      <c r="AF61" s="20">
        <f t="shared" si="14"/>
        <v>8</v>
      </c>
      <c r="AG61" s="20">
        <f t="shared" si="15"/>
        <v>7</v>
      </c>
      <c r="AH61" s="20">
        <f t="shared" si="16"/>
        <v>4</v>
      </c>
      <c r="AI61" s="20">
        <f t="shared" si="17"/>
        <v>5</v>
      </c>
      <c r="AJ61" s="20">
        <f t="shared" si="18"/>
        <v>8</v>
      </c>
      <c r="AK61" s="20" t="str">
        <f t="shared" si="19"/>
        <v>Abnormal</v>
      </c>
      <c r="AL61" s="20" t="str">
        <f t="shared" si="20"/>
        <v>Abnormal</v>
      </c>
      <c r="AM61" s="20" t="str">
        <f t="shared" si="21"/>
        <v>Normal</v>
      </c>
      <c r="AN61" s="20" t="str">
        <f t="shared" si="22"/>
        <v>Borderline</v>
      </c>
      <c r="AO61" s="20" t="str">
        <f t="shared" si="23"/>
        <v>Normal</v>
      </c>
      <c r="AP61" s="20">
        <f t="shared" si="12"/>
        <v>24</v>
      </c>
      <c r="AQ61" s="20" t="str">
        <f t="shared" si="13"/>
        <v>Abnormal</v>
      </c>
    </row>
    <row r="62" spans="1:43" x14ac:dyDescent="0.3">
      <c r="A62" s="19" t="str">
        <f>Responses!A62</f>
        <v>Eqdpgoo</v>
      </c>
      <c r="B62" s="19" t="str">
        <f>Responses!B62</f>
        <v>1Ab8KJO</v>
      </c>
      <c r="C62" s="19">
        <f>Responses!C62</f>
        <v>46136.099953703713</v>
      </c>
      <c r="D62" s="19" t="str">
        <f>Responses!D62</f>
        <v>Muhammad Rafa Reza Aryananta</v>
      </c>
      <c r="E62" s="19" t="str">
        <f>Responses!E62</f>
        <v>XI-2</v>
      </c>
      <c r="F62" s="19">
        <f>Responses!F62</f>
        <v>17</v>
      </c>
      <c r="G62" s="8">
        <f>IF(Responses!G62="","",IF(Responses!G62="Benar",2,IF(Responses!G62="Agak Benar",1,0)))</f>
        <v>2</v>
      </c>
      <c r="H62" s="8">
        <f>IF(Responses!H62="","",IF(Responses!H62="Benar",2,IF(Responses!H62="Agak Benar",1,0)))</f>
        <v>1</v>
      </c>
      <c r="I62" s="8">
        <f>IF(Responses!I62="","",IF(Responses!I62="Benar",2,IF(Responses!I62="Agak Benar",1,0)))</f>
        <v>0</v>
      </c>
      <c r="J62" s="8">
        <f>IF(Responses!J62="","",IF(Responses!J62="Benar",2,IF(Responses!J62="Agak Benar",1,0)))</f>
        <v>2</v>
      </c>
      <c r="K62" s="8">
        <f>IF(Responses!K62="","",IF(Responses!K62="Benar",2,IF(Responses!K62="Agak Benar",1,0)))</f>
        <v>0</v>
      </c>
      <c r="L62" s="8">
        <f>IF(Responses!L62="","",IF(Responses!L62="Benar",2,IF(Responses!L62="Agak Benar",1,0)))</f>
        <v>0</v>
      </c>
      <c r="M62" s="8">
        <f>IF(Responses!M62="","",IF(Responses!M62="Tidak Benar",2,IF(Responses!M62="Agak Benar",1,0)))</f>
        <v>2</v>
      </c>
      <c r="N62" s="8">
        <f>IF(Responses!N62="","",IF(Responses!N62="Benar",2,IF(Responses!N62="Agak Benar",1,0)))</f>
        <v>0</v>
      </c>
      <c r="O62" s="8">
        <f>IF(Responses!O62="","",IF(Responses!O62="Benar",2,IF(Responses!O62="Agak Benar",1,0)))</f>
        <v>2</v>
      </c>
      <c r="P62" s="8">
        <f>IF(Responses!P62="","",IF(Responses!P62="Benar",2,IF(Responses!P62="Agak Benar",1,0)))</f>
        <v>0</v>
      </c>
      <c r="Q62" s="8">
        <f>IF(Responses!Q62="","",IF(Responses!Q62="Tidak Benar",2,IF(Responses!Q62="Agak Benar",1,0)))</f>
        <v>0</v>
      </c>
      <c r="R62" s="8">
        <f>IF(Responses!R62="","",IF(Responses!R62="Benar",2,IF(Responses!R62="Agak Benar",1,0)))</f>
        <v>0</v>
      </c>
      <c r="S62" s="8">
        <f>IF(Responses!S62="","",IF(Responses!S62="Benar",2,IF(Responses!S62="Agak Benar",1,0)))</f>
        <v>0</v>
      </c>
      <c r="T62" s="8">
        <f>IF(Responses!T62="","",IF(Responses!T62="Tidak Benar",2,IF(Responses!T62="Agak Benar",1,0)))</f>
        <v>0</v>
      </c>
      <c r="U62" s="8">
        <f>IF(Responses!U62="","",IF(Responses!U62="Benar",2,IF(Responses!U62="Agak Benar",1,0)))</f>
        <v>0</v>
      </c>
      <c r="V62" s="8">
        <f>IF(Responses!V62="","",IF(Responses!V62="Benar",2,IF(Responses!V62="Agak Benar",1,0)))</f>
        <v>0</v>
      </c>
      <c r="W62" s="8">
        <f>IF(Responses!W62="","",IF(Responses!W62="Benar",2,IF(Responses!W62="Agak Benar",1,0)))</f>
        <v>2</v>
      </c>
      <c r="X62" s="8">
        <f>IF(Responses!X62="","",IF(Responses!X62="Benar",2,IF(Responses!X62="Agak Benar",1,0)))</f>
        <v>0</v>
      </c>
      <c r="Y62" s="8">
        <f>IF(Responses!Y62="","",IF(Responses!Y62="Benar",2,IF(Responses!Y62="Agak Benar",1,0)))</f>
        <v>0</v>
      </c>
      <c r="Z62" s="8">
        <f>IF(Responses!Z62="","",IF(Responses!Z62="Benar",2,IF(Responses!Z62="Agak Benar",1,0)))</f>
        <v>1</v>
      </c>
      <c r="AA62" s="8">
        <f>IF(Responses!AA62="","",IF(Responses!AA62="Tidak Benar",2,IF(Responses!AA62="Agak Benar",1,0)))</f>
        <v>0</v>
      </c>
      <c r="AB62" s="8">
        <f>IF(Responses!AB62="","",IF(Responses!AB62="Benar",2,IF(Responses!AB62="Agak Benar",1,0)))</f>
        <v>0</v>
      </c>
      <c r="AC62" s="8">
        <f>IF(Responses!AC62="","",IF(Responses!AC62="Benar",2,IF(Responses!AC62="Agak Benar",1,0)))</f>
        <v>0</v>
      </c>
      <c r="AD62" s="8">
        <f>IF(Responses!AD62="","",IF(Responses!AD62="Benar",2,IF(Responses!AD62="Agak Benar",1,0)))</f>
        <v>0</v>
      </c>
      <c r="AE62" s="8">
        <f>IF(Responses!AE62="","",IF(Responses!AE62="Tidak Benar",2,IF(Responses!AE62="Agak Benar",1,0)))</f>
        <v>0</v>
      </c>
      <c r="AF62" s="20">
        <f t="shared" si="14"/>
        <v>0</v>
      </c>
      <c r="AG62" s="20">
        <f t="shared" si="15"/>
        <v>2</v>
      </c>
      <c r="AH62" s="20">
        <f t="shared" si="16"/>
        <v>1</v>
      </c>
      <c r="AI62" s="20">
        <f t="shared" si="17"/>
        <v>0</v>
      </c>
      <c r="AJ62" s="20">
        <f t="shared" si="18"/>
        <v>9</v>
      </c>
      <c r="AK62" s="20" t="str">
        <f t="shared" si="19"/>
        <v>Normal</v>
      </c>
      <c r="AL62" s="20" t="str">
        <f t="shared" si="20"/>
        <v>Normal</v>
      </c>
      <c r="AM62" s="20" t="str">
        <f t="shared" si="21"/>
        <v>Normal</v>
      </c>
      <c r="AN62" s="20" t="str">
        <f t="shared" si="22"/>
        <v>Normal</v>
      </c>
      <c r="AO62" s="20" t="str">
        <f t="shared" si="23"/>
        <v>Normal</v>
      </c>
      <c r="AP62" s="20">
        <f t="shared" si="12"/>
        <v>3</v>
      </c>
      <c r="AQ62" s="20" t="str">
        <f t="shared" si="13"/>
        <v>Normal</v>
      </c>
    </row>
    <row r="63" spans="1:43" x14ac:dyDescent="0.3">
      <c r="A63" s="19" t="str">
        <f>Responses!A63</f>
        <v>OQ4RyDM</v>
      </c>
      <c r="B63" s="19" t="str">
        <f>Responses!B63</f>
        <v>ODjvPgY</v>
      </c>
      <c r="C63" s="19">
        <f>Responses!C63</f>
        <v>46136.100011574083</v>
      </c>
      <c r="D63" s="19" t="str">
        <f>Responses!D63</f>
        <v>Aryasatya Candra Adirajasa</v>
      </c>
      <c r="E63" s="19" t="str">
        <f>Responses!E63</f>
        <v>XI-3</v>
      </c>
      <c r="F63" s="19">
        <f>Responses!F63</f>
        <v>17</v>
      </c>
      <c r="G63" s="8">
        <f>IF(Responses!G63="","",IF(Responses!G63="Benar",2,IF(Responses!G63="Agak Benar",1,0)))</f>
        <v>2</v>
      </c>
      <c r="H63" s="8">
        <f>IF(Responses!H63="","",IF(Responses!H63="Benar",2,IF(Responses!H63="Agak Benar",1,0)))</f>
        <v>0</v>
      </c>
      <c r="I63" s="8">
        <f>IF(Responses!I63="","",IF(Responses!I63="Benar",2,IF(Responses!I63="Agak Benar",1,0)))</f>
        <v>0</v>
      </c>
      <c r="J63" s="8">
        <f>IF(Responses!J63="","",IF(Responses!J63="Benar",2,IF(Responses!J63="Agak Benar",1,0)))</f>
        <v>2</v>
      </c>
      <c r="K63" s="8">
        <f>IF(Responses!K63="","",IF(Responses!K63="Benar",2,IF(Responses!K63="Agak Benar",1,0)))</f>
        <v>0</v>
      </c>
      <c r="L63" s="8">
        <f>IF(Responses!L63="","",IF(Responses!L63="Benar",2,IF(Responses!L63="Agak Benar",1,0)))</f>
        <v>0</v>
      </c>
      <c r="M63" s="8">
        <f>IF(Responses!M63="","",IF(Responses!M63="Tidak Benar",2,IF(Responses!M63="Agak Benar",1,0)))</f>
        <v>2</v>
      </c>
      <c r="N63" s="8">
        <f>IF(Responses!N63="","",IF(Responses!N63="Benar",2,IF(Responses!N63="Agak Benar",1,0)))</f>
        <v>1</v>
      </c>
      <c r="O63" s="8">
        <f>IF(Responses!O63="","",IF(Responses!O63="Benar",2,IF(Responses!O63="Agak Benar",1,0)))</f>
        <v>2</v>
      </c>
      <c r="P63" s="8">
        <f>IF(Responses!P63="","",IF(Responses!P63="Benar",2,IF(Responses!P63="Agak Benar",1,0)))</f>
        <v>1</v>
      </c>
      <c r="Q63" s="8">
        <f>IF(Responses!Q63="","",IF(Responses!Q63="Tidak Benar",2,IF(Responses!Q63="Agak Benar",1,0)))</f>
        <v>0</v>
      </c>
      <c r="R63" s="8">
        <f>IF(Responses!R63="","",IF(Responses!R63="Benar",2,IF(Responses!R63="Agak Benar",1,0)))</f>
        <v>0</v>
      </c>
      <c r="S63" s="8">
        <f>IF(Responses!S63="","",IF(Responses!S63="Benar",2,IF(Responses!S63="Agak Benar",1,0)))</f>
        <v>0</v>
      </c>
      <c r="T63" s="8">
        <f>IF(Responses!T63="","",IF(Responses!T63="Tidak Benar",2,IF(Responses!T63="Agak Benar",1,0)))</f>
        <v>1</v>
      </c>
      <c r="U63" s="8">
        <f>IF(Responses!U63="","",IF(Responses!U63="Benar",2,IF(Responses!U63="Agak Benar",1,0)))</f>
        <v>1</v>
      </c>
      <c r="V63" s="8">
        <f>IF(Responses!V63="","",IF(Responses!V63="Benar",2,IF(Responses!V63="Agak Benar",1,0)))</f>
        <v>0</v>
      </c>
      <c r="W63" s="8">
        <f>IF(Responses!W63="","",IF(Responses!W63="Benar",2,IF(Responses!W63="Agak Benar",1,0)))</f>
        <v>2</v>
      </c>
      <c r="X63" s="8">
        <f>IF(Responses!X63="","",IF(Responses!X63="Benar",2,IF(Responses!X63="Agak Benar",1,0)))</f>
        <v>2</v>
      </c>
      <c r="Y63" s="8">
        <f>IF(Responses!Y63="","",IF(Responses!Y63="Benar",2,IF(Responses!Y63="Agak Benar",1,0)))</f>
        <v>0</v>
      </c>
      <c r="Z63" s="8">
        <f>IF(Responses!Z63="","",IF(Responses!Z63="Benar",2,IF(Responses!Z63="Agak Benar",1,0)))</f>
        <v>2</v>
      </c>
      <c r="AA63" s="8">
        <f>IF(Responses!AA63="","",IF(Responses!AA63="Tidak Benar",2,IF(Responses!AA63="Agak Benar",1,0)))</f>
        <v>0</v>
      </c>
      <c r="AB63" s="8">
        <f>IF(Responses!AB63="","",IF(Responses!AB63="Benar",2,IF(Responses!AB63="Agak Benar",1,0)))</f>
        <v>0</v>
      </c>
      <c r="AC63" s="8">
        <f>IF(Responses!AC63="","",IF(Responses!AC63="Benar",2,IF(Responses!AC63="Agak Benar",1,0)))</f>
        <v>0</v>
      </c>
      <c r="AD63" s="8">
        <f>IF(Responses!AD63="","",IF(Responses!AD63="Benar",2,IF(Responses!AD63="Agak Benar",1,0)))</f>
        <v>1</v>
      </c>
      <c r="AE63" s="8">
        <f>IF(Responses!AE63="","",IF(Responses!AE63="Tidak Benar",2,IF(Responses!AE63="Agak Benar",1,0)))</f>
        <v>0</v>
      </c>
      <c r="AF63" s="20">
        <f t="shared" si="14"/>
        <v>2</v>
      </c>
      <c r="AG63" s="20">
        <f t="shared" si="15"/>
        <v>4</v>
      </c>
      <c r="AH63" s="20">
        <f t="shared" si="16"/>
        <v>2</v>
      </c>
      <c r="AI63" s="20">
        <f t="shared" si="17"/>
        <v>1</v>
      </c>
      <c r="AJ63" s="20">
        <f t="shared" si="18"/>
        <v>10</v>
      </c>
      <c r="AK63" s="20" t="str">
        <f t="shared" si="19"/>
        <v>Normal</v>
      </c>
      <c r="AL63" s="20" t="str">
        <f t="shared" si="20"/>
        <v>Borderline</v>
      </c>
      <c r="AM63" s="20" t="str">
        <f t="shared" si="21"/>
        <v>Normal</v>
      </c>
      <c r="AN63" s="20" t="str">
        <f t="shared" si="22"/>
        <v>Normal</v>
      </c>
      <c r="AO63" s="20" t="str">
        <f t="shared" si="23"/>
        <v>Normal</v>
      </c>
      <c r="AP63" s="20">
        <f t="shared" si="12"/>
        <v>9</v>
      </c>
      <c r="AQ63" s="20" t="str">
        <f t="shared" si="13"/>
        <v>Normal</v>
      </c>
    </row>
    <row r="64" spans="1:43" x14ac:dyDescent="0.3">
      <c r="A64" s="19" t="str">
        <f>Responses!A64</f>
        <v>LD78ybv</v>
      </c>
      <c r="B64" s="19" t="str">
        <f>Responses!B64</f>
        <v>eqN4AWO</v>
      </c>
      <c r="C64" s="19">
        <f>Responses!C64</f>
        <v>46136.100046296298</v>
      </c>
      <c r="D64" s="19" t="str">
        <f>Responses!D64</f>
        <v xml:space="preserve">DEWI PUSPITASARI </v>
      </c>
      <c r="E64" s="19" t="str">
        <f>Responses!E64</f>
        <v>XI-2</v>
      </c>
      <c r="F64" s="19">
        <f>Responses!F64</f>
        <v>17</v>
      </c>
      <c r="G64" s="8">
        <f>IF(Responses!G64="","",IF(Responses!G64="Benar",2,IF(Responses!G64="Agak Benar",1,0)))</f>
        <v>2</v>
      </c>
      <c r="H64" s="8">
        <f>IF(Responses!H64="","",IF(Responses!H64="Benar",2,IF(Responses!H64="Agak Benar",1,0)))</f>
        <v>1</v>
      </c>
      <c r="I64" s="8">
        <f>IF(Responses!I64="","",IF(Responses!I64="Benar",2,IF(Responses!I64="Agak Benar",1,0)))</f>
        <v>1</v>
      </c>
      <c r="J64" s="8">
        <f>IF(Responses!J64="","",IF(Responses!J64="Benar",2,IF(Responses!J64="Agak Benar",1,0)))</f>
        <v>2</v>
      </c>
      <c r="K64" s="8">
        <f>IF(Responses!K64="","",IF(Responses!K64="Benar",2,IF(Responses!K64="Agak Benar",1,0)))</f>
        <v>1</v>
      </c>
      <c r="L64" s="8">
        <f>IF(Responses!L64="","",IF(Responses!L64="Benar",2,IF(Responses!L64="Agak Benar",1,0)))</f>
        <v>0</v>
      </c>
      <c r="M64" s="8">
        <f>IF(Responses!M64="","",IF(Responses!M64="Tidak Benar",2,IF(Responses!M64="Agak Benar",1,0)))</f>
        <v>1</v>
      </c>
      <c r="N64" s="8">
        <f>IF(Responses!N64="","",IF(Responses!N64="Benar",2,IF(Responses!N64="Agak Benar",1,0)))</f>
        <v>2</v>
      </c>
      <c r="O64" s="8">
        <f>IF(Responses!O64="","",IF(Responses!O64="Benar",2,IF(Responses!O64="Agak Benar",1,0)))</f>
        <v>2</v>
      </c>
      <c r="P64" s="8">
        <f>IF(Responses!P64="","",IF(Responses!P64="Benar",2,IF(Responses!P64="Agak Benar",1,0)))</f>
        <v>2</v>
      </c>
      <c r="Q64" s="8">
        <f>IF(Responses!Q64="","",IF(Responses!Q64="Tidak Benar",2,IF(Responses!Q64="Agak Benar",1,0)))</f>
        <v>0</v>
      </c>
      <c r="R64" s="8">
        <f>IF(Responses!R64="","",IF(Responses!R64="Benar",2,IF(Responses!R64="Agak Benar",1,0)))</f>
        <v>0</v>
      </c>
      <c r="S64" s="8">
        <f>IF(Responses!S64="","",IF(Responses!S64="Benar",2,IF(Responses!S64="Agak Benar",1,0)))</f>
        <v>1</v>
      </c>
      <c r="T64" s="8">
        <f>IF(Responses!T64="","",IF(Responses!T64="Tidak Benar",2,IF(Responses!T64="Agak Benar",1,0)))</f>
        <v>2</v>
      </c>
      <c r="U64" s="8">
        <f>IF(Responses!U64="","",IF(Responses!U64="Benar",2,IF(Responses!U64="Agak Benar",1,0)))</f>
        <v>2</v>
      </c>
      <c r="V64" s="8">
        <f>IF(Responses!V64="","",IF(Responses!V64="Benar",2,IF(Responses!V64="Agak Benar",1,0)))</f>
        <v>1</v>
      </c>
      <c r="W64" s="8">
        <f>IF(Responses!W64="","",IF(Responses!W64="Benar",2,IF(Responses!W64="Agak Benar",1,0)))</f>
        <v>2</v>
      </c>
      <c r="X64" s="8">
        <f>IF(Responses!X64="","",IF(Responses!X64="Benar",2,IF(Responses!X64="Agak Benar",1,0)))</f>
        <v>0</v>
      </c>
      <c r="Y64" s="8">
        <f>IF(Responses!Y64="","",IF(Responses!Y64="Benar",2,IF(Responses!Y64="Agak Benar",1,0)))</f>
        <v>0</v>
      </c>
      <c r="Z64" s="8">
        <f>IF(Responses!Z64="","",IF(Responses!Z64="Benar",2,IF(Responses!Z64="Agak Benar",1,0)))</f>
        <v>2</v>
      </c>
      <c r="AA64" s="8">
        <f>IF(Responses!AA64="","",IF(Responses!AA64="Tidak Benar",2,IF(Responses!AA64="Agak Benar",1,0)))</f>
        <v>0</v>
      </c>
      <c r="AB64" s="8">
        <f>IF(Responses!AB64="","",IF(Responses!AB64="Benar",2,IF(Responses!AB64="Agak Benar",1,0)))</f>
        <v>0</v>
      </c>
      <c r="AC64" s="8">
        <f>IF(Responses!AC64="","",IF(Responses!AC64="Benar",2,IF(Responses!AC64="Agak Benar",1,0)))</f>
        <v>0</v>
      </c>
      <c r="AD64" s="8">
        <f>IF(Responses!AD64="","",IF(Responses!AD64="Benar",2,IF(Responses!AD64="Agak Benar",1,0)))</f>
        <v>1</v>
      </c>
      <c r="AE64" s="8">
        <f>IF(Responses!AE64="","",IF(Responses!AE64="Tidak Benar",2,IF(Responses!AE64="Agak Benar",1,0)))</f>
        <v>1</v>
      </c>
      <c r="AF64" s="20">
        <f t="shared" si="14"/>
        <v>6</v>
      </c>
      <c r="AG64" s="20">
        <f t="shared" si="15"/>
        <v>2</v>
      </c>
      <c r="AH64" s="20">
        <f t="shared" si="16"/>
        <v>6</v>
      </c>
      <c r="AI64" s="20">
        <f t="shared" si="17"/>
        <v>2</v>
      </c>
      <c r="AJ64" s="20">
        <f t="shared" si="18"/>
        <v>10</v>
      </c>
      <c r="AK64" s="20" t="str">
        <f t="shared" si="19"/>
        <v>Borderline</v>
      </c>
      <c r="AL64" s="20" t="str">
        <f t="shared" si="20"/>
        <v>Normal</v>
      </c>
      <c r="AM64" s="20" t="str">
        <f t="shared" si="21"/>
        <v>Borderline</v>
      </c>
      <c r="AN64" s="20" t="str">
        <f t="shared" si="22"/>
        <v>Normal</v>
      </c>
      <c r="AO64" s="20" t="str">
        <f t="shared" si="23"/>
        <v>Normal</v>
      </c>
      <c r="AP64" s="20">
        <f t="shared" si="12"/>
        <v>16</v>
      </c>
      <c r="AQ64" s="20" t="str">
        <f t="shared" si="13"/>
        <v>Borderline</v>
      </c>
    </row>
    <row r="65" spans="1:43" x14ac:dyDescent="0.3">
      <c r="A65" s="19" t="str">
        <f>Responses!A65</f>
        <v>aO5WovW</v>
      </c>
      <c r="B65" s="19" t="str">
        <f>Responses!B65</f>
        <v>5BlR24Q</v>
      </c>
      <c r="C65" s="19">
        <f>Responses!C65</f>
        <v>46136.100115740737</v>
      </c>
      <c r="D65" s="19" t="str">
        <f>Responses!D65</f>
        <v>Nur Fadlillah</v>
      </c>
      <c r="E65" s="19" t="str">
        <f>Responses!E65</f>
        <v>XI-2</v>
      </c>
      <c r="F65" s="19">
        <f>Responses!F65</f>
        <v>17</v>
      </c>
      <c r="G65" s="8">
        <f>IF(Responses!G65="","",IF(Responses!G65="Benar",2,IF(Responses!G65="Agak Benar",1,0)))</f>
        <v>2</v>
      </c>
      <c r="H65" s="8">
        <f>IF(Responses!H65="","",IF(Responses!H65="Benar",2,IF(Responses!H65="Agak Benar",1,0)))</f>
        <v>0</v>
      </c>
      <c r="I65" s="8">
        <f>IF(Responses!I65="","",IF(Responses!I65="Benar",2,IF(Responses!I65="Agak Benar",1,0)))</f>
        <v>1</v>
      </c>
      <c r="J65" s="8">
        <f>IF(Responses!J65="","",IF(Responses!J65="Benar",2,IF(Responses!J65="Agak Benar",1,0)))</f>
        <v>2</v>
      </c>
      <c r="K65" s="8">
        <f>IF(Responses!K65="","",IF(Responses!K65="Benar",2,IF(Responses!K65="Agak Benar",1,0)))</f>
        <v>0</v>
      </c>
      <c r="L65" s="8">
        <f>IF(Responses!L65="","",IF(Responses!L65="Benar",2,IF(Responses!L65="Agak Benar",1,0)))</f>
        <v>1</v>
      </c>
      <c r="M65" s="8">
        <f>IF(Responses!M65="","",IF(Responses!M65="Tidak Benar",2,IF(Responses!M65="Agak Benar",1,0)))</f>
        <v>1</v>
      </c>
      <c r="N65" s="8">
        <f>IF(Responses!N65="","",IF(Responses!N65="Benar",2,IF(Responses!N65="Agak Benar",1,0)))</f>
        <v>1</v>
      </c>
      <c r="O65" s="8">
        <f>IF(Responses!O65="","",IF(Responses!O65="Benar",2,IF(Responses!O65="Agak Benar",1,0)))</f>
        <v>2</v>
      </c>
      <c r="P65" s="8">
        <f>IF(Responses!P65="","",IF(Responses!P65="Benar",2,IF(Responses!P65="Agak Benar",1,0)))</f>
        <v>1</v>
      </c>
      <c r="Q65" s="8">
        <f>IF(Responses!Q65="","",IF(Responses!Q65="Tidak Benar",2,IF(Responses!Q65="Agak Benar",1,0)))</f>
        <v>0</v>
      </c>
      <c r="R65" s="8">
        <f>IF(Responses!R65="","",IF(Responses!R65="Benar",2,IF(Responses!R65="Agak Benar",1,0)))</f>
        <v>0</v>
      </c>
      <c r="S65" s="8">
        <f>IF(Responses!S65="","",IF(Responses!S65="Benar",2,IF(Responses!S65="Agak Benar",1,0)))</f>
        <v>1</v>
      </c>
      <c r="T65" s="8">
        <f>IF(Responses!T65="","",IF(Responses!T65="Tidak Benar",2,IF(Responses!T65="Agak Benar",1,0)))</f>
        <v>1</v>
      </c>
      <c r="U65" s="8">
        <f>IF(Responses!U65="","",IF(Responses!U65="Benar",2,IF(Responses!U65="Agak Benar",1,0)))</f>
        <v>2</v>
      </c>
      <c r="V65" s="8">
        <f>IF(Responses!V65="","",IF(Responses!V65="Benar",2,IF(Responses!V65="Agak Benar",1,0)))</f>
        <v>2</v>
      </c>
      <c r="W65" s="8">
        <f>IF(Responses!W65="","",IF(Responses!W65="Benar",2,IF(Responses!W65="Agak Benar",1,0)))</f>
        <v>2</v>
      </c>
      <c r="X65" s="8">
        <f>IF(Responses!X65="","",IF(Responses!X65="Benar",2,IF(Responses!X65="Agak Benar",1,0)))</f>
        <v>0</v>
      </c>
      <c r="Y65" s="8">
        <f>IF(Responses!Y65="","",IF(Responses!Y65="Benar",2,IF(Responses!Y65="Agak Benar",1,0)))</f>
        <v>0</v>
      </c>
      <c r="Z65" s="8">
        <f>IF(Responses!Z65="","",IF(Responses!Z65="Benar",2,IF(Responses!Z65="Agak Benar",1,0)))</f>
        <v>1</v>
      </c>
      <c r="AA65" s="8">
        <f>IF(Responses!AA65="","",IF(Responses!AA65="Tidak Benar",2,IF(Responses!AA65="Agak Benar",1,0)))</f>
        <v>0</v>
      </c>
      <c r="AB65" s="8">
        <f>IF(Responses!AB65="","",IF(Responses!AB65="Benar",2,IF(Responses!AB65="Agak Benar",1,0)))</f>
        <v>0</v>
      </c>
      <c r="AC65" s="8">
        <f>IF(Responses!AC65="","",IF(Responses!AC65="Benar",2,IF(Responses!AC65="Agak Benar",1,0)))</f>
        <v>1</v>
      </c>
      <c r="AD65" s="8">
        <f>IF(Responses!AD65="","",IF(Responses!AD65="Benar",2,IF(Responses!AD65="Agak Benar",1,0)))</f>
        <v>2</v>
      </c>
      <c r="AE65" s="8">
        <f>IF(Responses!AE65="","",IF(Responses!AE65="Tidak Benar",2,IF(Responses!AE65="Agak Benar",1,0)))</f>
        <v>1</v>
      </c>
      <c r="AF65" s="20">
        <f t="shared" si="14"/>
        <v>7</v>
      </c>
      <c r="AG65" s="20">
        <f t="shared" si="15"/>
        <v>1</v>
      </c>
      <c r="AH65" s="20">
        <f t="shared" si="16"/>
        <v>4</v>
      </c>
      <c r="AI65" s="20">
        <f t="shared" si="17"/>
        <v>3</v>
      </c>
      <c r="AJ65" s="20">
        <f t="shared" si="18"/>
        <v>9</v>
      </c>
      <c r="AK65" s="20" t="str">
        <f t="shared" si="19"/>
        <v>Abnormal</v>
      </c>
      <c r="AL65" s="20" t="str">
        <f t="shared" si="20"/>
        <v>Normal</v>
      </c>
      <c r="AM65" s="20" t="str">
        <f t="shared" si="21"/>
        <v>Normal</v>
      </c>
      <c r="AN65" s="20" t="str">
        <f t="shared" si="22"/>
        <v>Normal</v>
      </c>
      <c r="AO65" s="20" t="str">
        <f t="shared" si="23"/>
        <v>Normal</v>
      </c>
      <c r="AP65" s="20">
        <f t="shared" si="12"/>
        <v>15</v>
      </c>
      <c r="AQ65" s="20" t="str">
        <f t="shared" si="13"/>
        <v>Normal</v>
      </c>
    </row>
    <row r="66" spans="1:43" x14ac:dyDescent="0.3">
      <c r="A66" s="19" t="str">
        <f>Responses!A66</f>
        <v>laepZ8k</v>
      </c>
      <c r="B66" s="19" t="str">
        <f>Responses!B66</f>
        <v>ja0NxWx</v>
      </c>
      <c r="C66" s="19">
        <f>Responses!C66</f>
        <v>46136.100162037037</v>
      </c>
      <c r="D66" s="19" t="str">
        <f>Responses!D66</f>
        <v>alfad dan nuel</v>
      </c>
      <c r="E66" s="19" t="str">
        <f>Responses!E66</f>
        <v>XI-3</v>
      </c>
      <c r="F66" s="19">
        <f>Responses!F66</f>
        <v>16</v>
      </c>
      <c r="G66" s="8">
        <f>IF(Responses!G66="","",IF(Responses!G66="Benar",2,IF(Responses!G66="Agak Benar",1,0)))</f>
        <v>2</v>
      </c>
      <c r="H66" s="8">
        <f>IF(Responses!H66="","",IF(Responses!H66="Benar",2,IF(Responses!H66="Agak Benar",1,0)))</f>
        <v>2</v>
      </c>
      <c r="I66" s="8">
        <f>IF(Responses!I66="","",IF(Responses!I66="Benar",2,IF(Responses!I66="Agak Benar",1,0)))</f>
        <v>0</v>
      </c>
      <c r="J66" s="8">
        <f>IF(Responses!J66="","",IF(Responses!J66="Benar",2,IF(Responses!J66="Agak Benar",1,0)))</f>
        <v>2</v>
      </c>
      <c r="K66" s="8">
        <f>IF(Responses!K66="","",IF(Responses!K66="Benar",2,IF(Responses!K66="Agak Benar",1,0)))</f>
        <v>2</v>
      </c>
      <c r="L66" s="8">
        <f>IF(Responses!L66="","",IF(Responses!L66="Benar",2,IF(Responses!L66="Agak Benar",1,0)))</f>
        <v>0</v>
      </c>
      <c r="M66" s="8">
        <f>IF(Responses!M66="","",IF(Responses!M66="Tidak Benar",2,IF(Responses!M66="Agak Benar",1,0)))</f>
        <v>1</v>
      </c>
      <c r="N66" s="8">
        <f>IF(Responses!N66="","",IF(Responses!N66="Benar",2,IF(Responses!N66="Agak Benar",1,0)))</f>
        <v>2</v>
      </c>
      <c r="O66" s="8">
        <f>IF(Responses!O66="","",IF(Responses!O66="Benar",2,IF(Responses!O66="Agak Benar",1,0)))</f>
        <v>0</v>
      </c>
      <c r="P66" s="8">
        <f>IF(Responses!P66="","",IF(Responses!P66="Benar",2,IF(Responses!P66="Agak Benar",1,0)))</f>
        <v>0</v>
      </c>
      <c r="Q66" s="8">
        <f>IF(Responses!Q66="","",IF(Responses!Q66="Tidak Benar",2,IF(Responses!Q66="Agak Benar",1,0)))</f>
        <v>2</v>
      </c>
      <c r="R66" s="8">
        <f>IF(Responses!R66="","",IF(Responses!R66="Benar",2,IF(Responses!R66="Agak Benar",1,0)))</f>
        <v>1</v>
      </c>
      <c r="S66" s="8">
        <f>IF(Responses!S66="","",IF(Responses!S66="Benar",2,IF(Responses!S66="Agak Benar",1,0)))</f>
        <v>1</v>
      </c>
      <c r="T66" s="8">
        <f>IF(Responses!T66="","",IF(Responses!T66="Tidak Benar",2,IF(Responses!T66="Agak Benar",1,0)))</f>
        <v>0</v>
      </c>
      <c r="U66" s="8">
        <f>IF(Responses!U66="","",IF(Responses!U66="Benar",2,IF(Responses!U66="Agak Benar",1,0)))</f>
        <v>1</v>
      </c>
      <c r="V66" s="8">
        <f>IF(Responses!V66="","",IF(Responses!V66="Benar",2,IF(Responses!V66="Agak Benar",1,0)))</f>
        <v>2</v>
      </c>
      <c r="W66" s="8">
        <f>IF(Responses!W66="","",IF(Responses!W66="Benar",2,IF(Responses!W66="Agak Benar",1,0)))</f>
        <v>1</v>
      </c>
      <c r="X66" s="8">
        <f>IF(Responses!X66="","",IF(Responses!X66="Benar",2,IF(Responses!X66="Agak Benar",1,0)))</f>
        <v>0</v>
      </c>
      <c r="Y66" s="8">
        <f>IF(Responses!Y66="","",IF(Responses!Y66="Benar",2,IF(Responses!Y66="Agak Benar",1,0)))</f>
        <v>0</v>
      </c>
      <c r="Z66" s="8">
        <f>IF(Responses!Z66="","",IF(Responses!Z66="Benar",2,IF(Responses!Z66="Agak Benar",1,0)))</f>
        <v>0</v>
      </c>
      <c r="AA66" s="8">
        <f>IF(Responses!AA66="","",IF(Responses!AA66="Tidak Benar",2,IF(Responses!AA66="Agak Benar",1,0)))</f>
        <v>1</v>
      </c>
      <c r="AB66" s="8">
        <f>IF(Responses!AB66="","",IF(Responses!AB66="Benar",2,IF(Responses!AB66="Agak Benar",1,0)))</f>
        <v>1</v>
      </c>
      <c r="AC66" s="8">
        <f>IF(Responses!AC66="","",IF(Responses!AC66="Benar",2,IF(Responses!AC66="Agak Benar",1,0)))</f>
        <v>1</v>
      </c>
      <c r="AD66" s="8">
        <f>IF(Responses!AD66="","",IF(Responses!AD66="Benar",2,IF(Responses!AD66="Agak Benar",1,0)))</f>
        <v>2</v>
      </c>
      <c r="AE66" s="8">
        <f>IF(Responses!AE66="","",IF(Responses!AE66="Tidak Benar",2,IF(Responses!AE66="Agak Benar",1,0)))</f>
        <v>0</v>
      </c>
      <c r="AF66" s="20">
        <f t="shared" ref="AF66:AF97" si="24">IF(A66="","",I66+N66+S66+V66+AD66)</f>
        <v>7</v>
      </c>
      <c r="AG66" s="20">
        <f t="shared" ref="AG66:AG97" si="25">IF(A66="","",K66+M66+R66+X66+AB66)</f>
        <v>5</v>
      </c>
      <c r="AH66" s="20">
        <f t="shared" ref="AH66:AH97" si="26">IF(A66="","",H66+P66+U66+AA66+AE66)</f>
        <v>4</v>
      </c>
      <c r="AI66" s="20">
        <f t="shared" ref="AI66:AI97" si="27">IF(A66="","",L66+Q66+T66+Y66+AC66)</f>
        <v>3</v>
      </c>
      <c r="AJ66" s="20">
        <f t="shared" ref="AJ66:AJ97" si="28">IF(A66="","",G66+J66+O66+W66+Z66)</f>
        <v>5</v>
      </c>
      <c r="AK66" s="20" t="str">
        <f t="shared" ref="AK66:AK97" si="29">IF(AF66="","",IF(AF66&lt;=5,"Normal",IF(AF66=6,"Borderline","Abnormal")))</f>
        <v>Abnormal</v>
      </c>
      <c r="AL66" s="20" t="str">
        <f t="shared" ref="AL66:AL97" si="30">IF(AG66="","",IF(AG66&lt;=3,"Normal",IF(AG66=4,"Borderline","Abnormal")))</f>
        <v>Abnormal</v>
      </c>
      <c r="AM66" s="20" t="str">
        <f t="shared" ref="AM66:AM97" si="31">IF(AH66="","",IF(AH66&lt;=5,"Normal",IF(AH66=6,"Borderline","Abnormal")))</f>
        <v>Normal</v>
      </c>
      <c r="AN66" s="20" t="str">
        <f t="shared" ref="AN66:AN97" si="32">IF(AI66="","",IF(AI66&lt;=3,"Normal",IF(AI66&lt;=5,"Borderline","Abnormal")))</f>
        <v>Normal</v>
      </c>
      <c r="AO66" s="20" t="str">
        <f t="shared" ref="AO66:AO97" si="33">IF(AJ66="","",IF(AJ66&gt;=6,"Normal",IF(AJ66=5,"Borderline","Abnormal")))</f>
        <v>Borderline</v>
      </c>
      <c r="AP66" s="20">
        <f t="shared" si="12"/>
        <v>19</v>
      </c>
      <c r="AQ66" s="20" t="str">
        <f t="shared" si="13"/>
        <v>Borderline</v>
      </c>
    </row>
    <row r="67" spans="1:43" x14ac:dyDescent="0.3">
      <c r="A67" s="19" t="str">
        <f>Responses!A67</f>
        <v>0VB4gEP</v>
      </c>
      <c r="B67" s="19" t="str">
        <f>Responses!B67</f>
        <v>Pd2KlQx</v>
      </c>
      <c r="C67" s="19">
        <f>Responses!C67</f>
        <v>46136.100474537037</v>
      </c>
      <c r="D67" s="19" t="str">
        <f>Responses!D67</f>
        <v>Kayla Nayma Nursena</v>
      </c>
      <c r="E67" s="19" t="str">
        <f>Responses!E67</f>
        <v>XI-2</v>
      </c>
      <c r="F67" s="19">
        <f>Responses!F67</f>
        <v>16</v>
      </c>
      <c r="G67" s="8">
        <f>IF(Responses!G67="","",IF(Responses!G67="Benar",2,IF(Responses!G67="Agak Benar",1,0)))</f>
        <v>2</v>
      </c>
      <c r="H67" s="8">
        <f>IF(Responses!H67="","",IF(Responses!H67="Benar",2,IF(Responses!H67="Agak Benar",1,0)))</f>
        <v>2</v>
      </c>
      <c r="I67" s="8">
        <f>IF(Responses!I67="","",IF(Responses!I67="Benar",2,IF(Responses!I67="Agak Benar",1,0)))</f>
        <v>2</v>
      </c>
      <c r="J67" s="8">
        <f>IF(Responses!J67="","",IF(Responses!J67="Benar",2,IF(Responses!J67="Agak Benar",1,0)))</f>
        <v>1</v>
      </c>
      <c r="K67" s="8">
        <f>IF(Responses!K67="","",IF(Responses!K67="Benar",2,IF(Responses!K67="Agak Benar",1,0)))</f>
        <v>2</v>
      </c>
      <c r="L67" s="8">
        <f>IF(Responses!L67="","",IF(Responses!L67="Benar",2,IF(Responses!L67="Agak Benar",1,0)))</f>
        <v>1</v>
      </c>
      <c r="M67" s="8">
        <f>IF(Responses!M67="","",IF(Responses!M67="Tidak Benar",2,IF(Responses!M67="Agak Benar",1,0)))</f>
        <v>1</v>
      </c>
      <c r="N67" s="8">
        <f>IF(Responses!N67="","",IF(Responses!N67="Benar",2,IF(Responses!N67="Agak Benar",1,0)))</f>
        <v>1</v>
      </c>
      <c r="O67" s="8">
        <f>IF(Responses!O67="","",IF(Responses!O67="Benar",2,IF(Responses!O67="Agak Benar",1,0)))</f>
        <v>1</v>
      </c>
      <c r="P67" s="8">
        <f>IF(Responses!P67="","",IF(Responses!P67="Benar",2,IF(Responses!P67="Agak Benar",1,0)))</f>
        <v>1</v>
      </c>
      <c r="Q67" s="8">
        <f>IF(Responses!Q67="","",IF(Responses!Q67="Tidak Benar",2,IF(Responses!Q67="Agak Benar",1,0)))</f>
        <v>0</v>
      </c>
      <c r="R67" s="8">
        <f>IF(Responses!R67="","",IF(Responses!R67="Benar",2,IF(Responses!R67="Agak Benar",1,0)))</f>
        <v>0</v>
      </c>
      <c r="S67" s="8">
        <f>IF(Responses!S67="","",IF(Responses!S67="Benar",2,IF(Responses!S67="Agak Benar",1,0)))</f>
        <v>1</v>
      </c>
      <c r="T67" s="8">
        <f>IF(Responses!T67="","",IF(Responses!T67="Tidak Benar",2,IF(Responses!T67="Agak Benar",1,0)))</f>
        <v>1</v>
      </c>
      <c r="U67" s="8">
        <f>IF(Responses!U67="","",IF(Responses!U67="Benar",2,IF(Responses!U67="Agak Benar",1,0)))</f>
        <v>1</v>
      </c>
      <c r="V67" s="8">
        <f>IF(Responses!V67="","",IF(Responses!V67="Benar",2,IF(Responses!V67="Agak Benar",1,0)))</f>
        <v>1</v>
      </c>
      <c r="W67" s="8">
        <f>IF(Responses!W67="","",IF(Responses!W67="Benar",2,IF(Responses!W67="Agak Benar",1,0)))</f>
        <v>2</v>
      </c>
      <c r="X67" s="8">
        <f>IF(Responses!X67="","",IF(Responses!X67="Benar",2,IF(Responses!X67="Agak Benar",1,0)))</f>
        <v>0</v>
      </c>
      <c r="Y67" s="8">
        <f>IF(Responses!Y67="","",IF(Responses!Y67="Benar",2,IF(Responses!Y67="Agak Benar",1,0)))</f>
        <v>0</v>
      </c>
      <c r="Z67" s="8">
        <f>IF(Responses!Z67="","",IF(Responses!Z67="Benar",2,IF(Responses!Z67="Agak Benar",1,0)))</f>
        <v>1</v>
      </c>
      <c r="AA67" s="8">
        <f>IF(Responses!AA67="","",IF(Responses!AA67="Tidak Benar",2,IF(Responses!AA67="Agak Benar",1,0)))</f>
        <v>1</v>
      </c>
      <c r="AB67" s="8">
        <f>IF(Responses!AB67="","",IF(Responses!AB67="Benar",2,IF(Responses!AB67="Agak Benar",1,0)))</f>
        <v>0</v>
      </c>
      <c r="AC67" s="8">
        <f>IF(Responses!AC67="","",IF(Responses!AC67="Benar",2,IF(Responses!AC67="Agak Benar",1,0)))</f>
        <v>0</v>
      </c>
      <c r="AD67" s="8">
        <f>IF(Responses!AD67="","",IF(Responses!AD67="Benar",2,IF(Responses!AD67="Agak Benar",1,0)))</f>
        <v>1</v>
      </c>
      <c r="AE67" s="8">
        <f>IF(Responses!AE67="","",IF(Responses!AE67="Tidak Benar",2,IF(Responses!AE67="Agak Benar",1,0)))</f>
        <v>1</v>
      </c>
      <c r="AF67" s="20">
        <f t="shared" si="24"/>
        <v>6</v>
      </c>
      <c r="AG67" s="20">
        <f t="shared" si="25"/>
        <v>3</v>
      </c>
      <c r="AH67" s="20">
        <f t="shared" si="26"/>
        <v>6</v>
      </c>
      <c r="AI67" s="20">
        <f t="shared" si="27"/>
        <v>2</v>
      </c>
      <c r="AJ67" s="20">
        <f t="shared" si="28"/>
        <v>7</v>
      </c>
      <c r="AK67" s="20" t="str">
        <f t="shared" si="29"/>
        <v>Borderline</v>
      </c>
      <c r="AL67" s="20" t="str">
        <f t="shared" si="30"/>
        <v>Normal</v>
      </c>
      <c r="AM67" s="20" t="str">
        <f t="shared" si="31"/>
        <v>Borderline</v>
      </c>
      <c r="AN67" s="20" t="str">
        <f t="shared" si="32"/>
        <v>Normal</v>
      </c>
      <c r="AO67" s="20" t="str">
        <f t="shared" si="33"/>
        <v>Normal</v>
      </c>
      <c r="AP67" s="20">
        <f t="shared" si="12"/>
        <v>17</v>
      </c>
      <c r="AQ67" s="20" t="str">
        <f t="shared" si="13"/>
        <v>Borderline</v>
      </c>
    </row>
    <row r="68" spans="1:43" x14ac:dyDescent="0.3">
      <c r="A68" s="19" t="str">
        <f>Responses!A68</f>
        <v>q5DyXDY</v>
      </c>
      <c r="B68" s="19" t="str">
        <f>Responses!B68</f>
        <v>pb0aW5q</v>
      </c>
      <c r="C68" s="19">
        <f>Responses!C68</f>
        <v>46136.100648148153</v>
      </c>
      <c r="D68" s="19" t="str">
        <f>Responses!D68</f>
        <v>Dyah Ayu</v>
      </c>
      <c r="E68" s="19" t="str">
        <f>Responses!E68</f>
        <v>XI-2</v>
      </c>
      <c r="F68" s="19">
        <f>Responses!F68</f>
        <v>17</v>
      </c>
      <c r="G68" s="8">
        <f>IF(Responses!G68="","",IF(Responses!G68="Benar",2,IF(Responses!G68="Agak Benar",1,0)))</f>
        <v>2</v>
      </c>
      <c r="H68" s="8">
        <f>IF(Responses!H68="","",IF(Responses!H68="Benar",2,IF(Responses!H68="Agak Benar",1,0)))</f>
        <v>1</v>
      </c>
      <c r="I68" s="8">
        <f>IF(Responses!I68="","",IF(Responses!I68="Benar",2,IF(Responses!I68="Agak Benar",1,0)))</f>
        <v>2</v>
      </c>
      <c r="J68" s="8">
        <f>IF(Responses!J68="","",IF(Responses!J68="Benar",2,IF(Responses!J68="Agak Benar",1,0)))</f>
        <v>1</v>
      </c>
      <c r="K68" s="8">
        <f>IF(Responses!K68="","",IF(Responses!K68="Benar",2,IF(Responses!K68="Agak Benar",1,0)))</f>
        <v>1</v>
      </c>
      <c r="L68" s="8">
        <f>IF(Responses!L68="","",IF(Responses!L68="Benar",2,IF(Responses!L68="Agak Benar",1,0)))</f>
        <v>1</v>
      </c>
      <c r="M68" s="8">
        <f>IF(Responses!M68="","",IF(Responses!M68="Tidak Benar",2,IF(Responses!M68="Agak Benar",1,0)))</f>
        <v>1</v>
      </c>
      <c r="N68" s="8">
        <f>IF(Responses!N68="","",IF(Responses!N68="Benar",2,IF(Responses!N68="Agak Benar",1,0)))</f>
        <v>0</v>
      </c>
      <c r="O68" s="8">
        <f>IF(Responses!O68="","",IF(Responses!O68="Benar",2,IF(Responses!O68="Agak Benar",1,0)))</f>
        <v>1</v>
      </c>
      <c r="P68" s="8">
        <f>IF(Responses!P68="","",IF(Responses!P68="Benar",2,IF(Responses!P68="Agak Benar",1,0)))</f>
        <v>0</v>
      </c>
      <c r="Q68" s="8">
        <f>IF(Responses!Q68="","",IF(Responses!Q68="Tidak Benar",2,IF(Responses!Q68="Agak Benar",1,0)))</f>
        <v>2</v>
      </c>
      <c r="R68" s="8">
        <f>IF(Responses!R68="","",IF(Responses!R68="Benar",2,IF(Responses!R68="Agak Benar",1,0)))</f>
        <v>0</v>
      </c>
      <c r="S68" s="8">
        <f>IF(Responses!S68="","",IF(Responses!S68="Benar",2,IF(Responses!S68="Agak Benar",1,0)))</f>
        <v>1</v>
      </c>
      <c r="T68" s="8">
        <f>IF(Responses!T68="","",IF(Responses!T68="Tidak Benar",2,IF(Responses!T68="Agak Benar",1,0)))</f>
        <v>1</v>
      </c>
      <c r="U68" s="8">
        <f>IF(Responses!U68="","",IF(Responses!U68="Benar",2,IF(Responses!U68="Agak Benar",1,0)))</f>
        <v>1</v>
      </c>
      <c r="V68" s="8">
        <f>IF(Responses!V68="","",IF(Responses!V68="Benar",2,IF(Responses!V68="Agak Benar",1,0)))</f>
        <v>0</v>
      </c>
      <c r="W68" s="8">
        <f>IF(Responses!W68="","",IF(Responses!W68="Benar",2,IF(Responses!W68="Agak Benar",1,0)))</f>
        <v>2</v>
      </c>
      <c r="X68" s="8">
        <f>IF(Responses!X68="","",IF(Responses!X68="Benar",2,IF(Responses!X68="Agak Benar",1,0)))</f>
        <v>0</v>
      </c>
      <c r="Y68" s="8">
        <f>IF(Responses!Y68="","",IF(Responses!Y68="Benar",2,IF(Responses!Y68="Agak Benar",1,0)))</f>
        <v>2</v>
      </c>
      <c r="Z68" s="8">
        <f>IF(Responses!Z68="","",IF(Responses!Z68="Benar",2,IF(Responses!Z68="Agak Benar",1,0)))</f>
        <v>1</v>
      </c>
      <c r="AA68" s="8">
        <f>IF(Responses!AA68="","",IF(Responses!AA68="Tidak Benar",2,IF(Responses!AA68="Agak Benar",1,0)))</f>
        <v>0</v>
      </c>
      <c r="AB68" s="8">
        <f>IF(Responses!AB68="","",IF(Responses!AB68="Benar",2,IF(Responses!AB68="Agak Benar",1,0)))</f>
        <v>0</v>
      </c>
      <c r="AC68" s="8">
        <f>IF(Responses!AC68="","",IF(Responses!AC68="Benar",2,IF(Responses!AC68="Agak Benar",1,0)))</f>
        <v>0</v>
      </c>
      <c r="AD68" s="8">
        <f>IF(Responses!AD68="","",IF(Responses!AD68="Benar",2,IF(Responses!AD68="Agak Benar",1,0)))</f>
        <v>2</v>
      </c>
      <c r="AE68" s="8">
        <f>IF(Responses!AE68="","",IF(Responses!AE68="Tidak Benar",2,IF(Responses!AE68="Agak Benar",1,0)))</f>
        <v>1</v>
      </c>
      <c r="AF68" s="20">
        <f t="shared" si="24"/>
        <v>5</v>
      </c>
      <c r="AG68" s="20">
        <f t="shared" si="25"/>
        <v>2</v>
      </c>
      <c r="AH68" s="20">
        <f t="shared" si="26"/>
        <v>3</v>
      </c>
      <c r="AI68" s="20">
        <f t="shared" si="27"/>
        <v>6</v>
      </c>
      <c r="AJ68" s="20">
        <f t="shared" si="28"/>
        <v>7</v>
      </c>
      <c r="AK68" s="20" t="str">
        <f t="shared" si="29"/>
        <v>Normal</v>
      </c>
      <c r="AL68" s="20" t="str">
        <f t="shared" si="30"/>
        <v>Normal</v>
      </c>
      <c r="AM68" s="20" t="str">
        <f t="shared" si="31"/>
        <v>Normal</v>
      </c>
      <c r="AN68" s="20" t="str">
        <f t="shared" si="32"/>
        <v>Abnormal</v>
      </c>
      <c r="AO68" s="20" t="str">
        <f t="shared" si="33"/>
        <v>Normal</v>
      </c>
      <c r="AP68" s="20">
        <f t="shared" si="12"/>
        <v>16</v>
      </c>
      <c r="AQ68" s="20" t="str">
        <f t="shared" si="13"/>
        <v>Borderline</v>
      </c>
    </row>
    <row r="69" spans="1:43" x14ac:dyDescent="0.3">
      <c r="A69" s="19" t="str">
        <f>Responses!A69</f>
        <v>yX2Oro8</v>
      </c>
      <c r="B69" s="19" t="str">
        <f>Responses!B69</f>
        <v>pb0aWl1</v>
      </c>
      <c r="C69" s="19">
        <f>Responses!C69</f>
        <v>46136.100729166668</v>
      </c>
      <c r="D69" s="19" t="str">
        <f>Responses!D69</f>
        <v xml:space="preserve">shelva ayu oktabella </v>
      </c>
      <c r="E69" s="19" t="str">
        <f>Responses!E69</f>
        <v>XI-3</v>
      </c>
      <c r="F69" s="19">
        <f>Responses!F69</f>
        <v>17</v>
      </c>
      <c r="G69" s="8">
        <f>IF(Responses!G69="","",IF(Responses!G69="Benar",2,IF(Responses!G69="Agak Benar",1,0)))</f>
        <v>2</v>
      </c>
      <c r="H69" s="8">
        <f>IF(Responses!H69="","",IF(Responses!H69="Benar",2,IF(Responses!H69="Agak Benar",1,0)))</f>
        <v>1</v>
      </c>
      <c r="I69" s="8">
        <f>IF(Responses!I69="","",IF(Responses!I69="Benar",2,IF(Responses!I69="Agak Benar",1,0)))</f>
        <v>1</v>
      </c>
      <c r="J69" s="8">
        <f>IF(Responses!J69="","",IF(Responses!J69="Benar",2,IF(Responses!J69="Agak Benar",1,0)))</f>
        <v>2</v>
      </c>
      <c r="K69" s="8">
        <f>IF(Responses!K69="","",IF(Responses!K69="Benar",2,IF(Responses!K69="Agak Benar",1,0)))</f>
        <v>0</v>
      </c>
      <c r="L69" s="8">
        <f>IF(Responses!L69="","",IF(Responses!L69="Benar",2,IF(Responses!L69="Agak Benar",1,0)))</f>
        <v>0</v>
      </c>
      <c r="M69" s="8">
        <f>IF(Responses!M69="","",IF(Responses!M69="Tidak Benar",2,IF(Responses!M69="Agak Benar",1,0)))</f>
        <v>1</v>
      </c>
      <c r="N69" s="8">
        <f>IF(Responses!N69="","",IF(Responses!N69="Benar",2,IF(Responses!N69="Agak Benar",1,0)))</f>
        <v>1</v>
      </c>
      <c r="O69" s="8">
        <f>IF(Responses!O69="","",IF(Responses!O69="Benar",2,IF(Responses!O69="Agak Benar",1,0)))</f>
        <v>2</v>
      </c>
      <c r="P69" s="8">
        <f>IF(Responses!P69="","",IF(Responses!P69="Benar",2,IF(Responses!P69="Agak Benar",1,0)))</f>
        <v>2</v>
      </c>
      <c r="Q69" s="8">
        <f>IF(Responses!Q69="","",IF(Responses!Q69="Tidak Benar",2,IF(Responses!Q69="Agak Benar",1,0)))</f>
        <v>0</v>
      </c>
      <c r="R69" s="8">
        <f>IF(Responses!R69="","",IF(Responses!R69="Benar",2,IF(Responses!R69="Agak Benar",1,0)))</f>
        <v>0</v>
      </c>
      <c r="S69" s="8">
        <f>IF(Responses!S69="","",IF(Responses!S69="Benar",2,IF(Responses!S69="Agak Benar",1,0)))</f>
        <v>0</v>
      </c>
      <c r="T69" s="8">
        <f>IF(Responses!T69="","",IF(Responses!T69="Tidak Benar",2,IF(Responses!T69="Agak Benar",1,0)))</f>
        <v>1</v>
      </c>
      <c r="U69" s="8">
        <f>IF(Responses!U69="","",IF(Responses!U69="Benar",2,IF(Responses!U69="Agak Benar",1,0)))</f>
        <v>1</v>
      </c>
      <c r="V69" s="8">
        <f>IF(Responses!V69="","",IF(Responses!V69="Benar",2,IF(Responses!V69="Agak Benar",1,0)))</f>
        <v>2</v>
      </c>
      <c r="W69" s="8">
        <f>IF(Responses!W69="","",IF(Responses!W69="Benar",2,IF(Responses!W69="Agak Benar",1,0)))</f>
        <v>2</v>
      </c>
      <c r="X69" s="8">
        <f>IF(Responses!X69="","",IF(Responses!X69="Benar",2,IF(Responses!X69="Agak Benar",1,0)))</f>
        <v>0</v>
      </c>
      <c r="Y69" s="8">
        <f>IF(Responses!Y69="","",IF(Responses!Y69="Benar",2,IF(Responses!Y69="Agak Benar",1,0)))</f>
        <v>0</v>
      </c>
      <c r="Z69" s="8">
        <f>IF(Responses!Z69="","",IF(Responses!Z69="Benar",2,IF(Responses!Z69="Agak Benar",1,0)))</f>
        <v>2</v>
      </c>
      <c r="AA69" s="8">
        <f>IF(Responses!AA69="","",IF(Responses!AA69="Tidak Benar",2,IF(Responses!AA69="Agak Benar",1,0)))</f>
        <v>0</v>
      </c>
      <c r="AB69" s="8">
        <f>IF(Responses!AB69="","",IF(Responses!AB69="Benar",2,IF(Responses!AB69="Agak Benar",1,0)))</f>
        <v>0</v>
      </c>
      <c r="AC69" s="8">
        <f>IF(Responses!AC69="","",IF(Responses!AC69="Benar",2,IF(Responses!AC69="Agak Benar",1,0)))</f>
        <v>0</v>
      </c>
      <c r="AD69" s="8">
        <f>IF(Responses!AD69="","",IF(Responses!AD69="Benar",2,IF(Responses!AD69="Agak Benar",1,0)))</f>
        <v>1</v>
      </c>
      <c r="AE69" s="8">
        <f>IF(Responses!AE69="","",IF(Responses!AE69="Tidak Benar",2,IF(Responses!AE69="Agak Benar",1,0)))</f>
        <v>0</v>
      </c>
      <c r="AF69" s="20">
        <f t="shared" si="24"/>
        <v>5</v>
      </c>
      <c r="AG69" s="20">
        <f t="shared" si="25"/>
        <v>1</v>
      </c>
      <c r="AH69" s="20">
        <f t="shared" si="26"/>
        <v>4</v>
      </c>
      <c r="AI69" s="20">
        <f t="shared" si="27"/>
        <v>1</v>
      </c>
      <c r="AJ69" s="20">
        <f t="shared" si="28"/>
        <v>10</v>
      </c>
      <c r="AK69" s="20" t="str">
        <f t="shared" si="29"/>
        <v>Normal</v>
      </c>
      <c r="AL69" s="20" t="str">
        <f t="shared" si="30"/>
        <v>Normal</v>
      </c>
      <c r="AM69" s="20" t="str">
        <f t="shared" si="31"/>
        <v>Normal</v>
      </c>
      <c r="AN69" s="20" t="str">
        <f t="shared" si="32"/>
        <v>Normal</v>
      </c>
      <c r="AO69" s="20" t="str">
        <f t="shared" si="33"/>
        <v>Normal</v>
      </c>
      <c r="AP69" s="20">
        <f t="shared" si="12"/>
        <v>11</v>
      </c>
      <c r="AQ69" s="20" t="str">
        <f t="shared" si="13"/>
        <v>Normal</v>
      </c>
    </row>
    <row r="70" spans="1:43" x14ac:dyDescent="0.3">
      <c r="A70" s="19" t="str">
        <f>Responses!A70</f>
        <v>5XjNorE</v>
      </c>
      <c r="B70" s="19" t="str">
        <f>Responses!B70</f>
        <v>pb0a7rB</v>
      </c>
      <c r="C70" s="19">
        <f>Responses!C70</f>
        <v>46136.100752314807</v>
      </c>
      <c r="D70" s="19" t="str">
        <f>Responses!D70</f>
        <v>Ferrely Shidqi Aqila Arif</v>
      </c>
      <c r="E70" s="19" t="str">
        <f>Responses!E70</f>
        <v>XI-3</v>
      </c>
      <c r="F70" s="19">
        <f>Responses!F70</f>
        <v>17</v>
      </c>
      <c r="G70" s="8">
        <f>IF(Responses!G70="","",IF(Responses!G70="Benar",2,IF(Responses!G70="Agak Benar",1,0)))</f>
        <v>2</v>
      </c>
      <c r="H70" s="8">
        <f>IF(Responses!H70="","",IF(Responses!H70="Benar",2,IF(Responses!H70="Agak Benar",1,0)))</f>
        <v>0</v>
      </c>
      <c r="I70" s="8">
        <f>IF(Responses!I70="","",IF(Responses!I70="Benar",2,IF(Responses!I70="Agak Benar",1,0)))</f>
        <v>0</v>
      </c>
      <c r="J70" s="8">
        <f>IF(Responses!J70="","",IF(Responses!J70="Benar",2,IF(Responses!J70="Agak Benar",1,0)))</f>
        <v>2</v>
      </c>
      <c r="K70" s="8">
        <f>IF(Responses!K70="","",IF(Responses!K70="Benar",2,IF(Responses!K70="Agak Benar",1,0)))</f>
        <v>0</v>
      </c>
      <c r="L70" s="8">
        <f>IF(Responses!L70="","",IF(Responses!L70="Benar",2,IF(Responses!L70="Agak Benar",1,0)))</f>
        <v>0</v>
      </c>
      <c r="M70" s="8">
        <f>IF(Responses!M70="","",IF(Responses!M70="Tidak Benar",2,IF(Responses!M70="Agak Benar",1,0)))</f>
        <v>0</v>
      </c>
      <c r="N70" s="8">
        <f>IF(Responses!N70="","",IF(Responses!N70="Benar",2,IF(Responses!N70="Agak Benar",1,0)))</f>
        <v>1</v>
      </c>
      <c r="O70" s="8">
        <f>IF(Responses!O70="","",IF(Responses!O70="Benar",2,IF(Responses!O70="Agak Benar",1,0)))</f>
        <v>2</v>
      </c>
      <c r="P70" s="8">
        <f>IF(Responses!P70="","",IF(Responses!P70="Benar",2,IF(Responses!P70="Agak Benar",1,0)))</f>
        <v>1</v>
      </c>
      <c r="Q70" s="8">
        <f>IF(Responses!Q70="","",IF(Responses!Q70="Tidak Benar",2,IF(Responses!Q70="Agak Benar",1,0)))</f>
        <v>0</v>
      </c>
      <c r="R70" s="8">
        <f>IF(Responses!R70="","",IF(Responses!R70="Benar",2,IF(Responses!R70="Agak Benar",1,0)))</f>
        <v>0</v>
      </c>
      <c r="S70" s="8">
        <f>IF(Responses!S70="","",IF(Responses!S70="Benar",2,IF(Responses!S70="Agak Benar",1,0)))</f>
        <v>0</v>
      </c>
      <c r="T70" s="8">
        <f>IF(Responses!T70="","",IF(Responses!T70="Tidak Benar",2,IF(Responses!T70="Agak Benar",1,0)))</f>
        <v>0</v>
      </c>
      <c r="U70" s="8">
        <f>IF(Responses!U70="","",IF(Responses!U70="Benar",2,IF(Responses!U70="Agak Benar",1,0)))</f>
        <v>0</v>
      </c>
      <c r="V70" s="8">
        <f>IF(Responses!V70="","",IF(Responses!V70="Benar",2,IF(Responses!V70="Agak Benar",1,0)))</f>
        <v>0</v>
      </c>
      <c r="W70" s="8">
        <f>IF(Responses!W70="","",IF(Responses!W70="Benar",2,IF(Responses!W70="Agak Benar",1,0)))</f>
        <v>2</v>
      </c>
      <c r="X70" s="8">
        <f>IF(Responses!X70="","",IF(Responses!X70="Benar",2,IF(Responses!X70="Agak Benar",1,0)))</f>
        <v>0</v>
      </c>
      <c r="Y70" s="8">
        <f>IF(Responses!Y70="","",IF(Responses!Y70="Benar",2,IF(Responses!Y70="Agak Benar",1,0)))</f>
        <v>0</v>
      </c>
      <c r="Z70" s="8">
        <f>IF(Responses!Z70="","",IF(Responses!Z70="Benar",2,IF(Responses!Z70="Agak Benar",1,0)))</f>
        <v>2</v>
      </c>
      <c r="AA70" s="8">
        <f>IF(Responses!AA70="","",IF(Responses!AA70="Tidak Benar",2,IF(Responses!AA70="Agak Benar",1,0)))</f>
        <v>0</v>
      </c>
      <c r="AB70" s="8">
        <f>IF(Responses!AB70="","",IF(Responses!AB70="Benar",2,IF(Responses!AB70="Agak Benar",1,0)))</f>
        <v>0</v>
      </c>
      <c r="AC70" s="8">
        <f>IF(Responses!AC70="","",IF(Responses!AC70="Benar",2,IF(Responses!AC70="Agak Benar",1,0)))</f>
        <v>0</v>
      </c>
      <c r="AD70" s="8">
        <f>IF(Responses!AD70="","",IF(Responses!AD70="Benar",2,IF(Responses!AD70="Agak Benar",1,0)))</f>
        <v>0</v>
      </c>
      <c r="AE70" s="8">
        <f>IF(Responses!AE70="","",IF(Responses!AE70="Tidak Benar",2,IF(Responses!AE70="Agak Benar",1,0)))</f>
        <v>0</v>
      </c>
      <c r="AF70" s="20">
        <f t="shared" si="24"/>
        <v>1</v>
      </c>
      <c r="AG70" s="20">
        <f t="shared" si="25"/>
        <v>0</v>
      </c>
      <c r="AH70" s="20">
        <f t="shared" si="26"/>
        <v>1</v>
      </c>
      <c r="AI70" s="20">
        <f t="shared" si="27"/>
        <v>0</v>
      </c>
      <c r="AJ70" s="20">
        <f t="shared" si="28"/>
        <v>10</v>
      </c>
      <c r="AK70" s="20" t="str">
        <f t="shared" si="29"/>
        <v>Normal</v>
      </c>
      <c r="AL70" s="20" t="str">
        <f t="shared" si="30"/>
        <v>Normal</v>
      </c>
      <c r="AM70" s="20" t="str">
        <f t="shared" si="31"/>
        <v>Normal</v>
      </c>
      <c r="AN70" s="20" t="str">
        <f t="shared" si="32"/>
        <v>Normal</v>
      </c>
      <c r="AO70" s="20" t="str">
        <f t="shared" si="33"/>
        <v>Normal</v>
      </c>
      <c r="AP70" s="20">
        <f t="shared" si="12"/>
        <v>2</v>
      </c>
      <c r="AQ70" s="20" t="str">
        <f t="shared" si="13"/>
        <v>Normal</v>
      </c>
    </row>
    <row r="71" spans="1:43" x14ac:dyDescent="0.3">
      <c r="A71" s="19" t="str">
        <f>Responses!A71</f>
        <v>WJE46Rv</v>
      </c>
      <c r="B71" s="19" t="str">
        <f>Responses!B71</f>
        <v>vG0kOgl</v>
      </c>
      <c r="C71" s="19">
        <f>Responses!C71</f>
        <v>46136.100868055553</v>
      </c>
      <c r="D71" s="19" t="str">
        <f>Responses!D71</f>
        <v xml:space="preserve">Angelin Damai Gracea </v>
      </c>
      <c r="E71" s="19" t="str">
        <f>Responses!E71</f>
        <v>XI-3</v>
      </c>
      <c r="F71" s="19">
        <f>Responses!F71</f>
        <v>17</v>
      </c>
      <c r="G71" s="8">
        <f>IF(Responses!G71="","",IF(Responses!G71="Benar",2,IF(Responses!G71="Agak Benar",1,0)))</f>
        <v>2</v>
      </c>
      <c r="H71" s="8">
        <f>IF(Responses!H71="","",IF(Responses!H71="Benar",2,IF(Responses!H71="Agak Benar",1,0)))</f>
        <v>0</v>
      </c>
      <c r="I71" s="8">
        <f>IF(Responses!I71="","",IF(Responses!I71="Benar",2,IF(Responses!I71="Agak Benar",1,0)))</f>
        <v>0</v>
      </c>
      <c r="J71" s="8">
        <f>IF(Responses!J71="","",IF(Responses!J71="Benar",2,IF(Responses!J71="Agak Benar",1,0)))</f>
        <v>2</v>
      </c>
      <c r="K71" s="8">
        <f>IF(Responses!K71="","",IF(Responses!K71="Benar",2,IF(Responses!K71="Agak Benar",1,0)))</f>
        <v>0</v>
      </c>
      <c r="L71" s="8">
        <f>IF(Responses!L71="","",IF(Responses!L71="Benar",2,IF(Responses!L71="Agak Benar",1,0)))</f>
        <v>0</v>
      </c>
      <c r="M71" s="8">
        <f>IF(Responses!M71="","",IF(Responses!M71="Tidak Benar",2,IF(Responses!M71="Agak Benar",1,0)))</f>
        <v>1</v>
      </c>
      <c r="N71" s="8">
        <f>IF(Responses!N71="","",IF(Responses!N71="Benar",2,IF(Responses!N71="Agak Benar",1,0)))</f>
        <v>1</v>
      </c>
      <c r="O71" s="8">
        <f>IF(Responses!O71="","",IF(Responses!O71="Benar",2,IF(Responses!O71="Agak Benar",1,0)))</f>
        <v>2</v>
      </c>
      <c r="P71" s="8">
        <f>IF(Responses!P71="","",IF(Responses!P71="Benar",2,IF(Responses!P71="Agak Benar",1,0)))</f>
        <v>1</v>
      </c>
      <c r="Q71" s="8">
        <f>IF(Responses!Q71="","",IF(Responses!Q71="Tidak Benar",2,IF(Responses!Q71="Agak Benar",1,0)))</f>
        <v>0</v>
      </c>
      <c r="R71" s="8">
        <f>IF(Responses!R71="","",IF(Responses!R71="Benar",2,IF(Responses!R71="Agak Benar",1,0)))</f>
        <v>0</v>
      </c>
      <c r="S71" s="8">
        <f>IF(Responses!S71="","",IF(Responses!S71="Benar",2,IF(Responses!S71="Agak Benar",1,0)))</f>
        <v>0</v>
      </c>
      <c r="T71" s="8">
        <f>IF(Responses!T71="","",IF(Responses!T71="Tidak Benar",2,IF(Responses!T71="Agak Benar",1,0)))</f>
        <v>1</v>
      </c>
      <c r="U71" s="8">
        <f>IF(Responses!U71="","",IF(Responses!U71="Benar",2,IF(Responses!U71="Agak Benar",1,0)))</f>
        <v>0</v>
      </c>
      <c r="V71" s="8">
        <f>IF(Responses!V71="","",IF(Responses!V71="Benar",2,IF(Responses!V71="Agak Benar",1,0)))</f>
        <v>0</v>
      </c>
      <c r="W71" s="8">
        <f>IF(Responses!W71="","",IF(Responses!W71="Benar",2,IF(Responses!W71="Agak Benar",1,0)))</f>
        <v>2</v>
      </c>
      <c r="X71" s="8">
        <f>IF(Responses!X71="","",IF(Responses!X71="Benar",2,IF(Responses!X71="Agak Benar",1,0)))</f>
        <v>0</v>
      </c>
      <c r="Y71" s="8">
        <f>IF(Responses!Y71="","",IF(Responses!Y71="Benar",2,IF(Responses!Y71="Agak Benar",1,0)))</f>
        <v>0</v>
      </c>
      <c r="Z71" s="8">
        <f>IF(Responses!Z71="","",IF(Responses!Z71="Benar",2,IF(Responses!Z71="Agak Benar",1,0)))</f>
        <v>2</v>
      </c>
      <c r="AA71" s="8">
        <f>IF(Responses!AA71="","",IF(Responses!AA71="Tidak Benar",2,IF(Responses!AA71="Agak Benar",1,0)))</f>
        <v>0</v>
      </c>
      <c r="AB71" s="8">
        <f>IF(Responses!AB71="","",IF(Responses!AB71="Benar",2,IF(Responses!AB71="Agak Benar",1,0)))</f>
        <v>0</v>
      </c>
      <c r="AC71" s="8">
        <f>IF(Responses!AC71="","",IF(Responses!AC71="Benar",2,IF(Responses!AC71="Agak Benar",1,0)))</f>
        <v>0</v>
      </c>
      <c r="AD71" s="8">
        <f>IF(Responses!AD71="","",IF(Responses!AD71="Benar",2,IF(Responses!AD71="Agak Benar",1,0)))</f>
        <v>1</v>
      </c>
      <c r="AE71" s="8">
        <f>IF(Responses!AE71="","",IF(Responses!AE71="Tidak Benar",2,IF(Responses!AE71="Agak Benar",1,0)))</f>
        <v>0</v>
      </c>
      <c r="AF71" s="20">
        <f t="shared" si="24"/>
        <v>2</v>
      </c>
      <c r="AG71" s="20">
        <f t="shared" si="25"/>
        <v>1</v>
      </c>
      <c r="AH71" s="20">
        <f t="shared" si="26"/>
        <v>1</v>
      </c>
      <c r="AI71" s="20">
        <f t="shared" si="27"/>
        <v>1</v>
      </c>
      <c r="AJ71" s="20">
        <f t="shared" si="28"/>
        <v>10</v>
      </c>
      <c r="AK71" s="20" t="str">
        <f t="shared" si="29"/>
        <v>Normal</v>
      </c>
      <c r="AL71" s="20" t="str">
        <f t="shared" si="30"/>
        <v>Normal</v>
      </c>
      <c r="AM71" s="20" t="str">
        <f t="shared" si="31"/>
        <v>Normal</v>
      </c>
      <c r="AN71" s="20" t="str">
        <f t="shared" si="32"/>
        <v>Normal</v>
      </c>
      <c r="AO71" s="20" t="str">
        <f t="shared" si="33"/>
        <v>Normal</v>
      </c>
      <c r="AP71" s="20">
        <f t="shared" ref="AP71:AP127" si="34">IF(A71="","",AF71+AG71+AH71+AI71)</f>
        <v>5</v>
      </c>
      <c r="AQ71" s="20" t="str">
        <f t="shared" ref="AQ71:AQ127" si="35">IF(A71="","",IF(AP71&lt;=15,"Normal",IF(AP71&lt;=19,"Borderline","Abnormal")))</f>
        <v>Normal</v>
      </c>
    </row>
    <row r="72" spans="1:43" x14ac:dyDescent="0.3">
      <c r="A72" s="19" t="str">
        <f>Responses!A72</f>
        <v>1WdjYbO</v>
      </c>
      <c r="B72" s="19" t="str">
        <f>Responses!B72</f>
        <v>7RJGVyL</v>
      </c>
      <c r="C72" s="19">
        <f>Responses!C72</f>
        <v>46136.100925925923</v>
      </c>
      <c r="D72" s="19" t="str">
        <f>Responses!D72</f>
        <v>Rachel Okta Fiona</v>
      </c>
      <c r="E72" s="19" t="str">
        <f>Responses!E72</f>
        <v>XI-3</v>
      </c>
      <c r="F72" s="19">
        <f>Responses!F72</f>
        <v>17</v>
      </c>
      <c r="G72" s="8">
        <f>IF(Responses!G72="","",IF(Responses!G72="Benar",2,IF(Responses!G72="Agak Benar",1,0)))</f>
        <v>2</v>
      </c>
      <c r="H72" s="8">
        <f>IF(Responses!H72="","",IF(Responses!H72="Benar",2,IF(Responses!H72="Agak Benar",1,0)))</f>
        <v>2</v>
      </c>
      <c r="I72" s="8">
        <f>IF(Responses!I72="","",IF(Responses!I72="Benar",2,IF(Responses!I72="Agak Benar",1,0)))</f>
        <v>2</v>
      </c>
      <c r="J72" s="8">
        <f>IF(Responses!J72="","",IF(Responses!J72="Benar",2,IF(Responses!J72="Agak Benar",1,0)))</f>
        <v>2</v>
      </c>
      <c r="K72" s="8">
        <f>IF(Responses!K72="","",IF(Responses!K72="Benar",2,IF(Responses!K72="Agak Benar",1,0)))</f>
        <v>1</v>
      </c>
      <c r="L72" s="8">
        <f>IF(Responses!L72="","",IF(Responses!L72="Benar",2,IF(Responses!L72="Agak Benar",1,0)))</f>
        <v>0</v>
      </c>
      <c r="M72" s="8">
        <f>IF(Responses!M72="","",IF(Responses!M72="Tidak Benar",2,IF(Responses!M72="Agak Benar",1,0)))</f>
        <v>1</v>
      </c>
      <c r="N72" s="8">
        <f>IF(Responses!N72="","",IF(Responses!N72="Benar",2,IF(Responses!N72="Agak Benar",1,0)))</f>
        <v>2</v>
      </c>
      <c r="O72" s="8">
        <f>IF(Responses!O72="","",IF(Responses!O72="Benar",2,IF(Responses!O72="Agak Benar",1,0)))</f>
        <v>2</v>
      </c>
      <c r="P72" s="8">
        <f>IF(Responses!P72="","",IF(Responses!P72="Benar",2,IF(Responses!P72="Agak Benar",1,0)))</f>
        <v>1</v>
      </c>
      <c r="Q72" s="8">
        <f>IF(Responses!Q72="","",IF(Responses!Q72="Tidak Benar",2,IF(Responses!Q72="Agak Benar",1,0)))</f>
        <v>0</v>
      </c>
      <c r="R72" s="8">
        <f>IF(Responses!R72="","",IF(Responses!R72="Benar",2,IF(Responses!R72="Agak Benar",1,0)))</f>
        <v>0</v>
      </c>
      <c r="S72" s="8">
        <f>IF(Responses!S72="","",IF(Responses!S72="Benar",2,IF(Responses!S72="Agak Benar",1,0)))</f>
        <v>2</v>
      </c>
      <c r="T72" s="8">
        <f>IF(Responses!T72="","",IF(Responses!T72="Tidak Benar",2,IF(Responses!T72="Agak Benar",1,0)))</f>
        <v>1</v>
      </c>
      <c r="U72" s="8">
        <f>IF(Responses!U72="","",IF(Responses!U72="Benar",2,IF(Responses!U72="Agak Benar",1,0)))</f>
        <v>2</v>
      </c>
      <c r="V72" s="8">
        <f>IF(Responses!V72="","",IF(Responses!V72="Benar",2,IF(Responses!V72="Agak Benar",1,0)))</f>
        <v>2</v>
      </c>
      <c r="W72" s="8">
        <f>IF(Responses!W72="","",IF(Responses!W72="Benar",2,IF(Responses!W72="Agak Benar",1,0)))</f>
        <v>2</v>
      </c>
      <c r="X72" s="8">
        <f>IF(Responses!X72="","",IF(Responses!X72="Benar",2,IF(Responses!X72="Agak Benar",1,0)))</f>
        <v>1</v>
      </c>
      <c r="Y72" s="8">
        <f>IF(Responses!Y72="","",IF(Responses!Y72="Benar",2,IF(Responses!Y72="Agak Benar",1,0)))</f>
        <v>0</v>
      </c>
      <c r="Z72" s="8">
        <f>IF(Responses!Z72="","",IF(Responses!Z72="Benar",2,IF(Responses!Z72="Agak Benar",1,0)))</f>
        <v>2</v>
      </c>
      <c r="AA72" s="8">
        <f>IF(Responses!AA72="","",IF(Responses!AA72="Tidak Benar",2,IF(Responses!AA72="Agak Benar",1,0)))</f>
        <v>0</v>
      </c>
      <c r="AB72" s="8">
        <f>IF(Responses!AB72="","",IF(Responses!AB72="Benar",2,IF(Responses!AB72="Agak Benar",1,0)))</f>
        <v>0</v>
      </c>
      <c r="AC72" s="8">
        <f>IF(Responses!AC72="","",IF(Responses!AC72="Benar",2,IF(Responses!AC72="Agak Benar",1,0)))</f>
        <v>0</v>
      </c>
      <c r="AD72" s="8">
        <f>IF(Responses!AD72="","",IF(Responses!AD72="Benar",2,IF(Responses!AD72="Agak Benar",1,0)))</f>
        <v>2</v>
      </c>
      <c r="AE72" s="8">
        <f>IF(Responses!AE72="","",IF(Responses!AE72="Tidak Benar",2,IF(Responses!AE72="Agak Benar",1,0)))</f>
        <v>0</v>
      </c>
      <c r="AF72" s="20">
        <f t="shared" si="24"/>
        <v>10</v>
      </c>
      <c r="AG72" s="20">
        <f t="shared" si="25"/>
        <v>3</v>
      </c>
      <c r="AH72" s="20">
        <f t="shared" si="26"/>
        <v>5</v>
      </c>
      <c r="AI72" s="20">
        <f t="shared" si="27"/>
        <v>1</v>
      </c>
      <c r="AJ72" s="20">
        <f t="shared" si="28"/>
        <v>10</v>
      </c>
      <c r="AK72" s="20" t="str">
        <f t="shared" si="29"/>
        <v>Abnormal</v>
      </c>
      <c r="AL72" s="20" t="str">
        <f t="shared" si="30"/>
        <v>Normal</v>
      </c>
      <c r="AM72" s="20" t="str">
        <f t="shared" si="31"/>
        <v>Normal</v>
      </c>
      <c r="AN72" s="20" t="str">
        <f t="shared" si="32"/>
        <v>Normal</v>
      </c>
      <c r="AO72" s="20" t="str">
        <f t="shared" si="33"/>
        <v>Normal</v>
      </c>
      <c r="AP72" s="20">
        <f t="shared" si="34"/>
        <v>19</v>
      </c>
      <c r="AQ72" s="20" t="str">
        <f t="shared" si="35"/>
        <v>Borderline</v>
      </c>
    </row>
    <row r="73" spans="1:43" x14ac:dyDescent="0.3">
      <c r="A73" s="19" t="str">
        <f>Responses!A73</f>
        <v>NqlzxyO</v>
      </c>
      <c r="B73" s="19" t="str">
        <f>Responses!B73</f>
        <v>D4XQvBE</v>
      </c>
      <c r="C73" s="19">
        <f>Responses!C73</f>
        <v>46136.100972222222</v>
      </c>
      <c r="D73" s="19" t="str">
        <f>Responses!D73</f>
        <v>Eriansyah al hafidz Husain</v>
      </c>
      <c r="E73" s="19" t="str">
        <f>Responses!E73</f>
        <v>XI-3</v>
      </c>
      <c r="F73" s="19">
        <f>Responses!F73</f>
        <v>16</v>
      </c>
      <c r="G73" s="8">
        <f>IF(Responses!G73="","",IF(Responses!G73="Benar",2,IF(Responses!G73="Agak Benar",1,0)))</f>
        <v>1</v>
      </c>
      <c r="H73" s="8">
        <f>IF(Responses!H73="","",IF(Responses!H73="Benar",2,IF(Responses!H73="Agak Benar",1,0)))</f>
        <v>2</v>
      </c>
      <c r="I73" s="8">
        <f>IF(Responses!I73="","",IF(Responses!I73="Benar",2,IF(Responses!I73="Agak Benar",1,0)))</f>
        <v>1</v>
      </c>
      <c r="J73" s="8">
        <f>IF(Responses!J73="","",IF(Responses!J73="Benar",2,IF(Responses!J73="Agak Benar",1,0)))</f>
        <v>1</v>
      </c>
      <c r="K73" s="8">
        <f>IF(Responses!K73="","",IF(Responses!K73="Benar",2,IF(Responses!K73="Agak Benar",1,0)))</f>
        <v>1</v>
      </c>
      <c r="L73" s="8">
        <f>IF(Responses!L73="","",IF(Responses!L73="Benar",2,IF(Responses!L73="Agak Benar",1,0)))</f>
        <v>0</v>
      </c>
      <c r="M73" s="8">
        <f>IF(Responses!M73="","",IF(Responses!M73="Tidak Benar",2,IF(Responses!M73="Agak Benar",1,0)))</f>
        <v>1</v>
      </c>
      <c r="N73" s="8">
        <f>IF(Responses!N73="","",IF(Responses!N73="Benar",2,IF(Responses!N73="Agak Benar",1,0)))</f>
        <v>1</v>
      </c>
      <c r="O73" s="8">
        <f>IF(Responses!O73="","",IF(Responses!O73="Benar",2,IF(Responses!O73="Agak Benar",1,0)))</f>
        <v>1</v>
      </c>
      <c r="P73" s="8">
        <f>IF(Responses!P73="","",IF(Responses!P73="Benar",2,IF(Responses!P73="Agak Benar",1,0)))</f>
        <v>2</v>
      </c>
      <c r="Q73" s="8">
        <f>IF(Responses!Q73="","",IF(Responses!Q73="Tidak Benar",2,IF(Responses!Q73="Agak Benar",1,0)))</f>
        <v>0</v>
      </c>
      <c r="R73" s="8">
        <f>IF(Responses!R73="","",IF(Responses!R73="Benar",2,IF(Responses!R73="Agak Benar",1,0)))</f>
        <v>1</v>
      </c>
      <c r="S73" s="8">
        <f>IF(Responses!S73="","",IF(Responses!S73="Benar",2,IF(Responses!S73="Agak Benar",1,0)))</f>
        <v>2</v>
      </c>
      <c r="T73" s="8">
        <f>IF(Responses!T73="","",IF(Responses!T73="Tidak Benar",2,IF(Responses!T73="Agak Benar",1,0)))</f>
        <v>2</v>
      </c>
      <c r="U73" s="8">
        <f>IF(Responses!U73="","",IF(Responses!U73="Benar",2,IF(Responses!U73="Agak Benar",1,0)))</f>
        <v>2</v>
      </c>
      <c r="V73" s="8">
        <f>IF(Responses!V73="","",IF(Responses!V73="Benar",2,IF(Responses!V73="Agak Benar",1,0)))</f>
        <v>2</v>
      </c>
      <c r="W73" s="8">
        <f>IF(Responses!W73="","",IF(Responses!W73="Benar",2,IF(Responses!W73="Agak Benar",1,0)))</f>
        <v>2</v>
      </c>
      <c r="X73" s="8">
        <f>IF(Responses!X73="","",IF(Responses!X73="Benar",2,IF(Responses!X73="Agak Benar",1,0)))</f>
        <v>2</v>
      </c>
      <c r="Y73" s="8">
        <f>IF(Responses!Y73="","",IF(Responses!Y73="Benar",2,IF(Responses!Y73="Agak Benar",1,0)))</f>
        <v>1</v>
      </c>
      <c r="Z73" s="8">
        <f>IF(Responses!Z73="","",IF(Responses!Z73="Benar",2,IF(Responses!Z73="Agak Benar",1,0)))</f>
        <v>2</v>
      </c>
      <c r="AA73" s="8">
        <f>IF(Responses!AA73="","",IF(Responses!AA73="Tidak Benar",2,IF(Responses!AA73="Agak Benar",1,0)))</f>
        <v>1</v>
      </c>
      <c r="AB73" s="8">
        <f>IF(Responses!AB73="","",IF(Responses!AB73="Benar",2,IF(Responses!AB73="Agak Benar",1,0)))</f>
        <v>1</v>
      </c>
      <c r="AC73" s="8">
        <f>IF(Responses!AC73="","",IF(Responses!AC73="Benar",2,IF(Responses!AC73="Agak Benar",1,0)))</f>
        <v>0</v>
      </c>
      <c r="AD73" s="8">
        <f>IF(Responses!AD73="","",IF(Responses!AD73="Benar",2,IF(Responses!AD73="Agak Benar",1,0)))</f>
        <v>2</v>
      </c>
      <c r="AE73" s="8">
        <f>IF(Responses!AE73="","",IF(Responses!AE73="Tidak Benar",2,IF(Responses!AE73="Agak Benar",1,0)))</f>
        <v>1</v>
      </c>
      <c r="AF73" s="20">
        <f t="shared" si="24"/>
        <v>8</v>
      </c>
      <c r="AG73" s="20">
        <f t="shared" si="25"/>
        <v>6</v>
      </c>
      <c r="AH73" s="20">
        <f t="shared" si="26"/>
        <v>8</v>
      </c>
      <c r="AI73" s="20">
        <f t="shared" si="27"/>
        <v>3</v>
      </c>
      <c r="AJ73" s="20">
        <f t="shared" si="28"/>
        <v>7</v>
      </c>
      <c r="AK73" s="20" t="str">
        <f t="shared" si="29"/>
        <v>Abnormal</v>
      </c>
      <c r="AL73" s="20" t="str">
        <f t="shared" si="30"/>
        <v>Abnormal</v>
      </c>
      <c r="AM73" s="20" t="str">
        <f t="shared" si="31"/>
        <v>Abnormal</v>
      </c>
      <c r="AN73" s="20" t="str">
        <f t="shared" si="32"/>
        <v>Normal</v>
      </c>
      <c r="AO73" s="20" t="str">
        <f t="shared" si="33"/>
        <v>Normal</v>
      </c>
      <c r="AP73" s="20">
        <f t="shared" si="34"/>
        <v>25</v>
      </c>
      <c r="AQ73" s="20" t="str">
        <f t="shared" si="35"/>
        <v>Abnormal</v>
      </c>
    </row>
    <row r="74" spans="1:43" x14ac:dyDescent="0.3">
      <c r="A74" s="19" t="str">
        <f>Responses!A74</f>
        <v>7XLQ09P</v>
      </c>
      <c r="B74" s="19" t="str">
        <f>Responses!B74</f>
        <v>ja0N9A4</v>
      </c>
      <c r="C74" s="19">
        <f>Responses!C74</f>
        <v>46136.101134259261</v>
      </c>
      <c r="D74" s="19" t="str">
        <f>Responses!D74</f>
        <v>Charen Chatarina C</v>
      </c>
      <c r="E74" s="19" t="str">
        <f>Responses!E74</f>
        <v>XI-3</v>
      </c>
      <c r="F74" s="19">
        <f>Responses!F74</f>
        <v>17</v>
      </c>
      <c r="G74" s="8">
        <f>IF(Responses!G74="","",IF(Responses!G74="Benar",2,IF(Responses!G74="Agak Benar",1,0)))</f>
        <v>2</v>
      </c>
      <c r="H74" s="8">
        <f>IF(Responses!H74="","",IF(Responses!H74="Benar",2,IF(Responses!H74="Agak Benar",1,0)))</f>
        <v>0</v>
      </c>
      <c r="I74" s="8">
        <f>IF(Responses!I74="","",IF(Responses!I74="Benar",2,IF(Responses!I74="Agak Benar",1,0)))</f>
        <v>1</v>
      </c>
      <c r="J74" s="8">
        <f>IF(Responses!J74="","",IF(Responses!J74="Benar",2,IF(Responses!J74="Agak Benar",1,0)))</f>
        <v>2</v>
      </c>
      <c r="K74" s="8">
        <f>IF(Responses!K74="","",IF(Responses!K74="Benar",2,IF(Responses!K74="Agak Benar",1,0)))</f>
        <v>2</v>
      </c>
      <c r="L74" s="8">
        <f>IF(Responses!L74="","",IF(Responses!L74="Benar",2,IF(Responses!L74="Agak Benar",1,0)))</f>
        <v>2</v>
      </c>
      <c r="M74" s="8">
        <f>IF(Responses!M74="","",IF(Responses!M74="Tidak Benar",2,IF(Responses!M74="Agak Benar",1,0)))</f>
        <v>0</v>
      </c>
      <c r="N74" s="8">
        <f>IF(Responses!N74="","",IF(Responses!N74="Benar",2,IF(Responses!N74="Agak Benar",1,0)))</f>
        <v>1</v>
      </c>
      <c r="O74" s="8">
        <f>IF(Responses!O74="","",IF(Responses!O74="Benar",2,IF(Responses!O74="Agak Benar",1,0)))</f>
        <v>2</v>
      </c>
      <c r="P74" s="8">
        <f>IF(Responses!P74="","",IF(Responses!P74="Benar",2,IF(Responses!P74="Agak Benar",1,0)))</f>
        <v>2</v>
      </c>
      <c r="Q74" s="8">
        <f>IF(Responses!Q74="","",IF(Responses!Q74="Tidak Benar",2,IF(Responses!Q74="Agak Benar",1,0)))</f>
        <v>1</v>
      </c>
      <c r="R74" s="8">
        <f>IF(Responses!R74="","",IF(Responses!R74="Benar",2,IF(Responses!R74="Agak Benar",1,0)))</f>
        <v>1</v>
      </c>
      <c r="S74" s="8">
        <f>IF(Responses!S74="","",IF(Responses!S74="Benar",2,IF(Responses!S74="Agak Benar",1,0)))</f>
        <v>2</v>
      </c>
      <c r="T74" s="8">
        <f>IF(Responses!T74="","",IF(Responses!T74="Tidak Benar",2,IF(Responses!T74="Agak Benar",1,0)))</f>
        <v>2</v>
      </c>
      <c r="U74" s="8">
        <f>IF(Responses!U74="","",IF(Responses!U74="Benar",2,IF(Responses!U74="Agak Benar",1,0)))</f>
        <v>2</v>
      </c>
      <c r="V74" s="8">
        <f>IF(Responses!V74="","",IF(Responses!V74="Benar",2,IF(Responses!V74="Agak Benar",1,0)))</f>
        <v>2</v>
      </c>
      <c r="W74" s="8">
        <f>IF(Responses!W74="","",IF(Responses!W74="Benar",2,IF(Responses!W74="Agak Benar",1,0)))</f>
        <v>1</v>
      </c>
      <c r="X74" s="8">
        <f>IF(Responses!X74="","",IF(Responses!X74="Benar",2,IF(Responses!X74="Agak Benar",1,0)))</f>
        <v>1</v>
      </c>
      <c r="Y74" s="8">
        <f>IF(Responses!Y74="","",IF(Responses!Y74="Benar",2,IF(Responses!Y74="Agak Benar",1,0)))</f>
        <v>2</v>
      </c>
      <c r="Z74" s="8">
        <f>IF(Responses!Z74="","",IF(Responses!Z74="Benar",2,IF(Responses!Z74="Agak Benar",1,0)))</f>
        <v>2</v>
      </c>
      <c r="AA74" s="8">
        <f>IF(Responses!AA74="","",IF(Responses!AA74="Tidak Benar",2,IF(Responses!AA74="Agak Benar",1,0)))</f>
        <v>2</v>
      </c>
      <c r="AB74" s="8">
        <f>IF(Responses!AB74="","",IF(Responses!AB74="Benar",2,IF(Responses!AB74="Agak Benar",1,0)))</f>
        <v>0</v>
      </c>
      <c r="AC74" s="8">
        <f>IF(Responses!AC74="","",IF(Responses!AC74="Benar",2,IF(Responses!AC74="Agak Benar",1,0)))</f>
        <v>2</v>
      </c>
      <c r="AD74" s="8">
        <f>IF(Responses!AD74="","",IF(Responses!AD74="Benar",2,IF(Responses!AD74="Agak Benar",1,0)))</f>
        <v>1</v>
      </c>
      <c r="AE74" s="8">
        <f>IF(Responses!AE74="","",IF(Responses!AE74="Tidak Benar",2,IF(Responses!AE74="Agak Benar",1,0)))</f>
        <v>0</v>
      </c>
      <c r="AF74" s="20">
        <f t="shared" si="24"/>
        <v>7</v>
      </c>
      <c r="AG74" s="20">
        <f t="shared" si="25"/>
        <v>4</v>
      </c>
      <c r="AH74" s="20">
        <f t="shared" si="26"/>
        <v>6</v>
      </c>
      <c r="AI74" s="20">
        <f t="shared" si="27"/>
        <v>9</v>
      </c>
      <c r="AJ74" s="20">
        <f t="shared" si="28"/>
        <v>9</v>
      </c>
      <c r="AK74" s="20" t="str">
        <f t="shared" si="29"/>
        <v>Abnormal</v>
      </c>
      <c r="AL74" s="20" t="str">
        <f t="shared" si="30"/>
        <v>Borderline</v>
      </c>
      <c r="AM74" s="20" t="str">
        <f t="shared" si="31"/>
        <v>Borderline</v>
      </c>
      <c r="AN74" s="20" t="str">
        <f t="shared" si="32"/>
        <v>Abnormal</v>
      </c>
      <c r="AO74" s="20" t="str">
        <f t="shared" si="33"/>
        <v>Normal</v>
      </c>
      <c r="AP74" s="20">
        <f t="shared" si="34"/>
        <v>26</v>
      </c>
      <c r="AQ74" s="20" t="str">
        <f t="shared" si="35"/>
        <v>Abnormal</v>
      </c>
    </row>
    <row r="75" spans="1:43" x14ac:dyDescent="0.3">
      <c r="A75" s="19" t="str">
        <f>Responses!A75</f>
        <v>laep21V</v>
      </c>
      <c r="B75" s="19" t="str">
        <f>Responses!B75</f>
        <v>VL9g9Gl</v>
      </c>
      <c r="C75" s="19">
        <f>Responses!C75</f>
        <v>46136.10119212963</v>
      </c>
      <c r="D75" s="19" t="str">
        <f>Responses!D75</f>
        <v xml:space="preserve">karim lestya azzahra </v>
      </c>
      <c r="E75" s="19" t="str">
        <f>Responses!E75</f>
        <v>XI-3</v>
      </c>
      <c r="F75" s="19">
        <f>Responses!F75</f>
        <v>17</v>
      </c>
      <c r="G75" s="8">
        <f>IF(Responses!G75="","",IF(Responses!G75="Benar",2,IF(Responses!G75="Agak Benar",1,0)))</f>
        <v>2</v>
      </c>
      <c r="H75" s="8">
        <f>IF(Responses!H75="","",IF(Responses!H75="Benar",2,IF(Responses!H75="Agak Benar",1,0)))</f>
        <v>0</v>
      </c>
      <c r="I75" s="8">
        <f>IF(Responses!I75="","",IF(Responses!I75="Benar",2,IF(Responses!I75="Agak Benar",1,0)))</f>
        <v>0</v>
      </c>
      <c r="J75" s="8">
        <f>IF(Responses!J75="","",IF(Responses!J75="Benar",2,IF(Responses!J75="Agak Benar",1,0)))</f>
        <v>1</v>
      </c>
      <c r="K75" s="8">
        <f>IF(Responses!K75="","",IF(Responses!K75="Benar",2,IF(Responses!K75="Agak Benar",1,0)))</f>
        <v>1</v>
      </c>
      <c r="L75" s="8">
        <f>IF(Responses!L75="","",IF(Responses!L75="Benar",2,IF(Responses!L75="Agak Benar",1,0)))</f>
        <v>0</v>
      </c>
      <c r="M75" s="8">
        <f>IF(Responses!M75="","",IF(Responses!M75="Tidak Benar",2,IF(Responses!M75="Agak Benar",1,0)))</f>
        <v>2</v>
      </c>
      <c r="N75" s="8">
        <f>IF(Responses!N75="","",IF(Responses!N75="Benar",2,IF(Responses!N75="Agak Benar",1,0)))</f>
        <v>1</v>
      </c>
      <c r="O75" s="8">
        <f>IF(Responses!O75="","",IF(Responses!O75="Benar",2,IF(Responses!O75="Agak Benar",1,0)))</f>
        <v>2</v>
      </c>
      <c r="P75" s="8">
        <f>IF(Responses!P75="","",IF(Responses!P75="Benar",2,IF(Responses!P75="Agak Benar",1,0)))</f>
        <v>1</v>
      </c>
      <c r="Q75" s="8">
        <f>IF(Responses!Q75="","",IF(Responses!Q75="Tidak Benar",2,IF(Responses!Q75="Agak Benar",1,0)))</f>
        <v>0</v>
      </c>
      <c r="R75" s="8">
        <f>IF(Responses!R75="","",IF(Responses!R75="Benar",2,IF(Responses!R75="Agak Benar",1,0)))</f>
        <v>0</v>
      </c>
      <c r="S75" s="8">
        <f>IF(Responses!S75="","",IF(Responses!S75="Benar",2,IF(Responses!S75="Agak Benar",1,0)))</f>
        <v>1</v>
      </c>
      <c r="T75" s="8">
        <f>IF(Responses!T75="","",IF(Responses!T75="Tidak Benar",2,IF(Responses!T75="Agak Benar",1,0)))</f>
        <v>1</v>
      </c>
      <c r="U75" s="8">
        <f>IF(Responses!U75="","",IF(Responses!U75="Benar",2,IF(Responses!U75="Agak Benar",1,0)))</f>
        <v>1</v>
      </c>
      <c r="V75" s="8">
        <f>IF(Responses!V75="","",IF(Responses!V75="Benar",2,IF(Responses!V75="Agak Benar",1,0)))</f>
        <v>1</v>
      </c>
      <c r="W75" s="8">
        <f>IF(Responses!W75="","",IF(Responses!W75="Benar",2,IF(Responses!W75="Agak Benar",1,0)))</f>
        <v>2</v>
      </c>
      <c r="X75" s="8">
        <f>IF(Responses!X75="","",IF(Responses!X75="Benar",2,IF(Responses!X75="Agak Benar",1,0)))</f>
        <v>0</v>
      </c>
      <c r="Y75" s="8">
        <f>IF(Responses!Y75="","",IF(Responses!Y75="Benar",2,IF(Responses!Y75="Agak Benar",1,0)))</f>
        <v>0</v>
      </c>
      <c r="Z75" s="8">
        <f>IF(Responses!Z75="","",IF(Responses!Z75="Benar",2,IF(Responses!Z75="Agak Benar",1,0)))</f>
        <v>2</v>
      </c>
      <c r="AA75" s="8">
        <f>IF(Responses!AA75="","",IF(Responses!AA75="Tidak Benar",2,IF(Responses!AA75="Agak Benar",1,0)))</f>
        <v>1</v>
      </c>
      <c r="AB75" s="8">
        <f>IF(Responses!AB75="","",IF(Responses!AB75="Benar",2,IF(Responses!AB75="Agak Benar",1,0)))</f>
        <v>0</v>
      </c>
      <c r="AC75" s="8">
        <f>IF(Responses!AC75="","",IF(Responses!AC75="Benar",2,IF(Responses!AC75="Agak Benar",1,0)))</f>
        <v>0</v>
      </c>
      <c r="AD75" s="8">
        <f>IF(Responses!AD75="","",IF(Responses!AD75="Benar",2,IF(Responses!AD75="Agak Benar",1,0)))</f>
        <v>1</v>
      </c>
      <c r="AE75" s="8">
        <f>IF(Responses!AE75="","",IF(Responses!AE75="Tidak Benar",2,IF(Responses!AE75="Agak Benar",1,0)))</f>
        <v>1</v>
      </c>
      <c r="AF75" s="20">
        <f t="shared" si="24"/>
        <v>4</v>
      </c>
      <c r="AG75" s="20">
        <f t="shared" si="25"/>
        <v>3</v>
      </c>
      <c r="AH75" s="20">
        <f t="shared" si="26"/>
        <v>4</v>
      </c>
      <c r="AI75" s="20">
        <f t="shared" si="27"/>
        <v>1</v>
      </c>
      <c r="AJ75" s="20">
        <f t="shared" si="28"/>
        <v>9</v>
      </c>
      <c r="AK75" s="20" t="str">
        <f t="shared" si="29"/>
        <v>Normal</v>
      </c>
      <c r="AL75" s="20" t="str">
        <f t="shared" si="30"/>
        <v>Normal</v>
      </c>
      <c r="AM75" s="20" t="str">
        <f t="shared" si="31"/>
        <v>Normal</v>
      </c>
      <c r="AN75" s="20" t="str">
        <f t="shared" si="32"/>
        <v>Normal</v>
      </c>
      <c r="AO75" s="20" t="str">
        <f t="shared" si="33"/>
        <v>Normal</v>
      </c>
      <c r="AP75" s="20">
        <f t="shared" si="34"/>
        <v>12</v>
      </c>
      <c r="AQ75" s="20" t="str">
        <f t="shared" si="35"/>
        <v>Normal</v>
      </c>
    </row>
    <row r="76" spans="1:43" x14ac:dyDescent="0.3">
      <c r="A76" s="19" t="str">
        <f>Responses!A76</f>
        <v>aO5WJJZ</v>
      </c>
      <c r="B76" s="19" t="str">
        <f>Responses!B76</f>
        <v>1Ab8b94</v>
      </c>
      <c r="C76" s="19">
        <f>Responses!C76</f>
        <v>46136.101203703707</v>
      </c>
      <c r="D76" s="19" t="str">
        <f>Responses!D76</f>
        <v>Shelomytha Jenia Putri</v>
      </c>
      <c r="E76" s="19" t="str">
        <f>Responses!E76</f>
        <v>XI-3</v>
      </c>
      <c r="F76" s="19">
        <f>Responses!F76</f>
        <v>17</v>
      </c>
      <c r="G76" s="8">
        <f>IF(Responses!G76="","",IF(Responses!G76="Benar",2,IF(Responses!G76="Agak Benar",1,0)))</f>
        <v>2</v>
      </c>
      <c r="H76" s="8">
        <f>IF(Responses!H76="","",IF(Responses!H76="Benar",2,IF(Responses!H76="Agak Benar",1,0)))</f>
        <v>1</v>
      </c>
      <c r="I76" s="8">
        <f>IF(Responses!I76="","",IF(Responses!I76="Benar",2,IF(Responses!I76="Agak Benar",1,0)))</f>
        <v>0</v>
      </c>
      <c r="J76" s="8">
        <f>IF(Responses!J76="","",IF(Responses!J76="Benar",2,IF(Responses!J76="Agak Benar",1,0)))</f>
        <v>2</v>
      </c>
      <c r="K76" s="8">
        <f>IF(Responses!K76="","",IF(Responses!K76="Benar",2,IF(Responses!K76="Agak Benar",1,0)))</f>
        <v>1</v>
      </c>
      <c r="L76" s="8">
        <f>IF(Responses!L76="","",IF(Responses!L76="Benar",2,IF(Responses!L76="Agak Benar",1,0)))</f>
        <v>0</v>
      </c>
      <c r="M76" s="8">
        <f>IF(Responses!M76="","",IF(Responses!M76="Tidak Benar",2,IF(Responses!M76="Agak Benar",1,0)))</f>
        <v>1</v>
      </c>
      <c r="N76" s="8">
        <f>IF(Responses!N76="","",IF(Responses!N76="Benar",2,IF(Responses!N76="Agak Benar",1,0)))</f>
        <v>1</v>
      </c>
      <c r="O76" s="8">
        <f>IF(Responses!O76="","",IF(Responses!O76="Benar",2,IF(Responses!O76="Agak Benar",1,0)))</f>
        <v>2</v>
      </c>
      <c r="P76" s="8">
        <f>IF(Responses!P76="","",IF(Responses!P76="Benar",2,IF(Responses!P76="Agak Benar",1,0)))</f>
        <v>0</v>
      </c>
      <c r="Q76" s="8">
        <f>IF(Responses!Q76="","",IF(Responses!Q76="Tidak Benar",2,IF(Responses!Q76="Agak Benar",1,0)))</f>
        <v>1</v>
      </c>
      <c r="R76" s="8">
        <f>IF(Responses!R76="","",IF(Responses!R76="Benar",2,IF(Responses!R76="Agak Benar",1,0)))</f>
        <v>0</v>
      </c>
      <c r="S76" s="8">
        <f>IF(Responses!S76="","",IF(Responses!S76="Benar",2,IF(Responses!S76="Agak Benar",1,0)))</f>
        <v>0</v>
      </c>
      <c r="T76" s="8">
        <f>IF(Responses!T76="","",IF(Responses!T76="Tidak Benar",2,IF(Responses!T76="Agak Benar",1,0)))</f>
        <v>1</v>
      </c>
      <c r="U76" s="8">
        <f>IF(Responses!U76="","",IF(Responses!U76="Benar",2,IF(Responses!U76="Agak Benar",1,0)))</f>
        <v>0</v>
      </c>
      <c r="V76" s="8">
        <f>IF(Responses!V76="","",IF(Responses!V76="Benar",2,IF(Responses!V76="Agak Benar",1,0)))</f>
        <v>1</v>
      </c>
      <c r="W76" s="8">
        <f>IF(Responses!W76="","",IF(Responses!W76="Benar",2,IF(Responses!W76="Agak Benar",1,0)))</f>
        <v>2</v>
      </c>
      <c r="X76" s="8">
        <f>IF(Responses!X76="","",IF(Responses!X76="Benar",2,IF(Responses!X76="Agak Benar",1,0)))</f>
        <v>0</v>
      </c>
      <c r="Y76" s="8">
        <f>IF(Responses!Y76="","",IF(Responses!Y76="Benar",2,IF(Responses!Y76="Agak Benar",1,0)))</f>
        <v>0</v>
      </c>
      <c r="Z76" s="8">
        <f>IF(Responses!Z76="","",IF(Responses!Z76="Benar",2,IF(Responses!Z76="Agak Benar",1,0)))</f>
        <v>1</v>
      </c>
      <c r="AA76" s="8">
        <f>IF(Responses!AA76="","",IF(Responses!AA76="Tidak Benar",2,IF(Responses!AA76="Agak Benar",1,0)))</f>
        <v>0</v>
      </c>
      <c r="AB76" s="8">
        <f>IF(Responses!AB76="","",IF(Responses!AB76="Benar",2,IF(Responses!AB76="Agak Benar",1,0)))</f>
        <v>0</v>
      </c>
      <c r="AC76" s="8">
        <f>IF(Responses!AC76="","",IF(Responses!AC76="Benar",2,IF(Responses!AC76="Agak Benar",1,0)))</f>
        <v>0</v>
      </c>
      <c r="AD76" s="8">
        <f>IF(Responses!AD76="","",IF(Responses!AD76="Benar",2,IF(Responses!AD76="Agak Benar",1,0)))</f>
        <v>0</v>
      </c>
      <c r="AE76" s="8">
        <f>IF(Responses!AE76="","",IF(Responses!AE76="Tidak Benar",2,IF(Responses!AE76="Agak Benar",1,0)))</f>
        <v>1</v>
      </c>
      <c r="AF76" s="20">
        <f t="shared" si="24"/>
        <v>2</v>
      </c>
      <c r="AG76" s="20">
        <f t="shared" si="25"/>
        <v>2</v>
      </c>
      <c r="AH76" s="20">
        <f t="shared" si="26"/>
        <v>2</v>
      </c>
      <c r="AI76" s="20">
        <f t="shared" si="27"/>
        <v>2</v>
      </c>
      <c r="AJ76" s="20">
        <f t="shared" si="28"/>
        <v>9</v>
      </c>
      <c r="AK76" s="20" t="str">
        <f t="shared" si="29"/>
        <v>Normal</v>
      </c>
      <c r="AL76" s="20" t="str">
        <f t="shared" si="30"/>
        <v>Normal</v>
      </c>
      <c r="AM76" s="20" t="str">
        <f t="shared" si="31"/>
        <v>Normal</v>
      </c>
      <c r="AN76" s="20" t="str">
        <f t="shared" si="32"/>
        <v>Normal</v>
      </c>
      <c r="AO76" s="20" t="str">
        <f t="shared" si="33"/>
        <v>Normal</v>
      </c>
      <c r="AP76" s="20">
        <f t="shared" si="34"/>
        <v>8</v>
      </c>
      <c r="AQ76" s="20" t="str">
        <f t="shared" si="35"/>
        <v>Normal</v>
      </c>
    </row>
    <row r="77" spans="1:43" x14ac:dyDescent="0.3">
      <c r="A77" s="19" t="str">
        <f>Responses!A77</f>
        <v>7XLQrd9</v>
      </c>
      <c r="B77" s="19" t="str">
        <f>Responses!B77</f>
        <v>RGZp8gd</v>
      </c>
      <c r="C77" s="19">
        <f>Responses!C77</f>
        <v>46136.1015162037</v>
      </c>
      <c r="D77" s="19" t="str">
        <f>Responses!D77</f>
        <v>Ekklesia Christy</v>
      </c>
      <c r="E77" s="19" t="str">
        <f>Responses!E77</f>
        <v>XI-3</v>
      </c>
      <c r="F77" s="19">
        <f>Responses!F77</f>
        <v>17</v>
      </c>
      <c r="G77" s="8">
        <f>IF(Responses!G77="","",IF(Responses!G77="Benar",2,IF(Responses!G77="Agak Benar",1,0)))</f>
        <v>2</v>
      </c>
      <c r="H77" s="8">
        <f>IF(Responses!H77="","",IF(Responses!H77="Benar",2,IF(Responses!H77="Agak Benar",1,0)))</f>
        <v>1</v>
      </c>
      <c r="I77" s="8">
        <f>IF(Responses!I77="","",IF(Responses!I77="Benar",2,IF(Responses!I77="Agak Benar",1,0)))</f>
        <v>0</v>
      </c>
      <c r="J77" s="8">
        <f>IF(Responses!J77="","",IF(Responses!J77="Benar",2,IF(Responses!J77="Agak Benar",1,0)))</f>
        <v>2</v>
      </c>
      <c r="K77" s="8">
        <f>IF(Responses!K77="","",IF(Responses!K77="Benar",2,IF(Responses!K77="Agak Benar",1,0)))</f>
        <v>0</v>
      </c>
      <c r="L77" s="8">
        <f>IF(Responses!L77="","",IF(Responses!L77="Benar",2,IF(Responses!L77="Agak Benar",1,0)))</f>
        <v>0</v>
      </c>
      <c r="M77" s="8">
        <f>IF(Responses!M77="","",IF(Responses!M77="Tidak Benar",2,IF(Responses!M77="Agak Benar",1,0)))</f>
        <v>0</v>
      </c>
      <c r="N77" s="8">
        <f>IF(Responses!N77="","",IF(Responses!N77="Benar",2,IF(Responses!N77="Agak Benar",1,0)))</f>
        <v>0</v>
      </c>
      <c r="O77" s="8">
        <f>IF(Responses!O77="","",IF(Responses!O77="Benar",2,IF(Responses!O77="Agak Benar",1,0)))</f>
        <v>2</v>
      </c>
      <c r="P77" s="8">
        <f>IF(Responses!P77="","",IF(Responses!P77="Benar",2,IF(Responses!P77="Agak Benar",1,0)))</f>
        <v>0</v>
      </c>
      <c r="Q77" s="8">
        <f>IF(Responses!Q77="","",IF(Responses!Q77="Tidak Benar",2,IF(Responses!Q77="Agak Benar",1,0)))</f>
        <v>0</v>
      </c>
      <c r="R77" s="8">
        <f>IF(Responses!R77="","",IF(Responses!R77="Benar",2,IF(Responses!R77="Agak Benar",1,0)))</f>
        <v>0</v>
      </c>
      <c r="S77" s="8">
        <f>IF(Responses!S77="","",IF(Responses!S77="Benar",2,IF(Responses!S77="Agak Benar",1,0)))</f>
        <v>0</v>
      </c>
      <c r="T77" s="8">
        <f>IF(Responses!T77="","",IF(Responses!T77="Tidak Benar",2,IF(Responses!T77="Agak Benar",1,0)))</f>
        <v>1</v>
      </c>
      <c r="U77" s="8">
        <f>IF(Responses!U77="","",IF(Responses!U77="Benar",2,IF(Responses!U77="Agak Benar",1,0)))</f>
        <v>0</v>
      </c>
      <c r="V77" s="8">
        <f>IF(Responses!V77="","",IF(Responses!V77="Benar",2,IF(Responses!V77="Agak Benar",1,0)))</f>
        <v>0</v>
      </c>
      <c r="W77" s="8">
        <f>IF(Responses!W77="","",IF(Responses!W77="Benar",2,IF(Responses!W77="Agak Benar",1,0)))</f>
        <v>2</v>
      </c>
      <c r="X77" s="8">
        <f>IF(Responses!X77="","",IF(Responses!X77="Benar",2,IF(Responses!X77="Agak Benar",1,0)))</f>
        <v>0</v>
      </c>
      <c r="Y77" s="8">
        <f>IF(Responses!Y77="","",IF(Responses!Y77="Benar",2,IF(Responses!Y77="Agak Benar",1,0)))</f>
        <v>0</v>
      </c>
      <c r="Z77" s="8">
        <f>IF(Responses!Z77="","",IF(Responses!Z77="Benar",2,IF(Responses!Z77="Agak Benar",1,0)))</f>
        <v>2</v>
      </c>
      <c r="AA77" s="8">
        <f>IF(Responses!AA77="","",IF(Responses!AA77="Tidak Benar",2,IF(Responses!AA77="Agak Benar",1,0)))</f>
        <v>0</v>
      </c>
      <c r="AB77" s="8">
        <f>IF(Responses!AB77="","",IF(Responses!AB77="Benar",2,IF(Responses!AB77="Agak Benar",1,0)))</f>
        <v>0</v>
      </c>
      <c r="AC77" s="8">
        <f>IF(Responses!AC77="","",IF(Responses!AC77="Benar",2,IF(Responses!AC77="Agak Benar",1,0)))</f>
        <v>0</v>
      </c>
      <c r="AD77" s="8">
        <f>IF(Responses!AD77="","",IF(Responses!AD77="Benar",2,IF(Responses!AD77="Agak Benar",1,0)))</f>
        <v>0</v>
      </c>
      <c r="AE77" s="8">
        <f>IF(Responses!AE77="","",IF(Responses!AE77="Tidak Benar",2,IF(Responses!AE77="Agak Benar",1,0)))</f>
        <v>0</v>
      </c>
      <c r="AF77" s="20">
        <f t="shared" si="24"/>
        <v>0</v>
      </c>
      <c r="AG77" s="20">
        <f t="shared" si="25"/>
        <v>0</v>
      </c>
      <c r="AH77" s="20">
        <f t="shared" si="26"/>
        <v>1</v>
      </c>
      <c r="AI77" s="20">
        <f t="shared" si="27"/>
        <v>1</v>
      </c>
      <c r="AJ77" s="20">
        <f t="shared" si="28"/>
        <v>10</v>
      </c>
      <c r="AK77" s="20" t="str">
        <f t="shared" si="29"/>
        <v>Normal</v>
      </c>
      <c r="AL77" s="20" t="str">
        <f t="shared" si="30"/>
        <v>Normal</v>
      </c>
      <c r="AM77" s="20" t="str">
        <f t="shared" si="31"/>
        <v>Normal</v>
      </c>
      <c r="AN77" s="20" t="str">
        <f t="shared" si="32"/>
        <v>Normal</v>
      </c>
      <c r="AO77" s="20" t="str">
        <f t="shared" si="33"/>
        <v>Normal</v>
      </c>
      <c r="AP77" s="20">
        <f t="shared" si="34"/>
        <v>2</v>
      </c>
      <c r="AQ77" s="20" t="str">
        <f t="shared" si="35"/>
        <v>Normal</v>
      </c>
    </row>
    <row r="78" spans="1:43" x14ac:dyDescent="0.3">
      <c r="A78" s="19" t="str">
        <f>Responses!A78</f>
        <v>1Wdjo2b</v>
      </c>
      <c r="B78" s="19" t="str">
        <f>Responses!B78</f>
        <v>GxoWYV2</v>
      </c>
      <c r="C78" s="19">
        <f>Responses!C78</f>
        <v>46136.101550925923</v>
      </c>
      <c r="D78" s="19" t="str">
        <f>Responses!D78</f>
        <v>Nameera Hilwa Fathma</v>
      </c>
      <c r="E78" s="19" t="str">
        <f>Responses!E78</f>
        <v>XI-3</v>
      </c>
      <c r="F78" s="19">
        <f>Responses!F78</f>
        <v>18</v>
      </c>
      <c r="G78" s="8">
        <f>IF(Responses!G78="","",IF(Responses!G78="Benar",2,IF(Responses!G78="Agak Benar",1,0)))</f>
        <v>2</v>
      </c>
      <c r="H78" s="8">
        <f>IF(Responses!H78="","",IF(Responses!H78="Benar",2,IF(Responses!H78="Agak Benar",1,0)))</f>
        <v>1</v>
      </c>
      <c r="I78" s="8">
        <f>IF(Responses!I78="","",IF(Responses!I78="Benar",2,IF(Responses!I78="Agak Benar",1,0)))</f>
        <v>1</v>
      </c>
      <c r="J78" s="8">
        <f>IF(Responses!J78="","",IF(Responses!J78="Benar",2,IF(Responses!J78="Agak Benar",1,0)))</f>
        <v>1</v>
      </c>
      <c r="K78" s="8">
        <f>IF(Responses!K78="","",IF(Responses!K78="Benar",2,IF(Responses!K78="Agak Benar",1,0)))</f>
        <v>1</v>
      </c>
      <c r="L78" s="8">
        <f>IF(Responses!L78="","",IF(Responses!L78="Benar",2,IF(Responses!L78="Agak Benar",1,0)))</f>
        <v>1</v>
      </c>
      <c r="M78" s="8">
        <f>IF(Responses!M78="","",IF(Responses!M78="Tidak Benar",2,IF(Responses!M78="Agak Benar",1,0)))</f>
        <v>1</v>
      </c>
      <c r="N78" s="8">
        <f>IF(Responses!N78="","",IF(Responses!N78="Benar",2,IF(Responses!N78="Agak Benar",1,0)))</f>
        <v>2</v>
      </c>
      <c r="O78" s="8">
        <f>IF(Responses!O78="","",IF(Responses!O78="Benar",2,IF(Responses!O78="Agak Benar",1,0)))</f>
        <v>1</v>
      </c>
      <c r="P78" s="8">
        <f>IF(Responses!P78="","",IF(Responses!P78="Benar",2,IF(Responses!P78="Agak Benar",1,0)))</f>
        <v>2</v>
      </c>
      <c r="Q78" s="8">
        <f>IF(Responses!Q78="","",IF(Responses!Q78="Tidak Benar",2,IF(Responses!Q78="Agak Benar",1,0)))</f>
        <v>0</v>
      </c>
      <c r="R78" s="8">
        <f>IF(Responses!R78="","",IF(Responses!R78="Benar",2,IF(Responses!R78="Agak Benar",1,0)))</f>
        <v>0</v>
      </c>
      <c r="S78" s="8">
        <f>IF(Responses!S78="","",IF(Responses!S78="Benar",2,IF(Responses!S78="Agak Benar",1,0)))</f>
        <v>1</v>
      </c>
      <c r="T78" s="8">
        <f>IF(Responses!T78="","",IF(Responses!T78="Tidak Benar",2,IF(Responses!T78="Agak Benar",1,0)))</f>
        <v>1</v>
      </c>
      <c r="U78" s="8">
        <f>IF(Responses!U78="","",IF(Responses!U78="Benar",2,IF(Responses!U78="Agak Benar",1,0)))</f>
        <v>1</v>
      </c>
      <c r="V78" s="8">
        <f>IF(Responses!V78="","",IF(Responses!V78="Benar",2,IF(Responses!V78="Agak Benar",1,0)))</f>
        <v>1</v>
      </c>
      <c r="W78" s="8">
        <f>IF(Responses!W78="","",IF(Responses!W78="Benar",2,IF(Responses!W78="Agak Benar",1,0)))</f>
        <v>2</v>
      </c>
      <c r="X78" s="8">
        <f>IF(Responses!X78="","",IF(Responses!X78="Benar",2,IF(Responses!X78="Agak Benar",1,0)))</f>
        <v>0</v>
      </c>
      <c r="Y78" s="8">
        <f>IF(Responses!Y78="","",IF(Responses!Y78="Benar",2,IF(Responses!Y78="Agak Benar",1,0)))</f>
        <v>0</v>
      </c>
      <c r="Z78" s="8">
        <f>IF(Responses!Z78="","",IF(Responses!Z78="Benar",2,IF(Responses!Z78="Agak Benar",1,0)))</f>
        <v>1</v>
      </c>
      <c r="AA78" s="8">
        <f>IF(Responses!AA78="","",IF(Responses!AA78="Tidak Benar",2,IF(Responses!AA78="Agak Benar",1,0)))</f>
        <v>0</v>
      </c>
      <c r="AB78" s="8">
        <f>IF(Responses!AB78="","",IF(Responses!AB78="Benar",2,IF(Responses!AB78="Agak Benar",1,0)))</f>
        <v>0</v>
      </c>
      <c r="AC78" s="8">
        <f>IF(Responses!AC78="","",IF(Responses!AC78="Benar",2,IF(Responses!AC78="Agak Benar",1,0)))</f>
        <v>1</v>
      </c>
      <c r="AD78" s="8">
        <f>IF(Responses!AD78="","",IF(Responses!AD78="Benar",2,IF(Responses!AD78="Agak Benar",1,0)))</f>
        <v>2</v>
      </c>
      <c r="AE78" s="8">
        <f>IF(Responses!AE78="","",IF(Responses!AE78="Tidak Benar",2,IF(Responses!AE78="Agak Benar",1,0)))</f>
        <v>0</v>
      </c>
      <c r="AF78" s="20">
        <f t="shared" si="24"/>
        <v>7</v>
      </c>
      <c r="AG78" s="20">
        <f t="shared" si="25"/>
        <v>2</v>
      </c>
      <c r="AH78" s="20">
        <f t="shared" si="26"/>
        <v>4</v>
      </c>
      <c r="AI78" s="20">
        <f t="shared" si="27"/>
        <v>3</v>
      </c>
      <c r="AJ78" s="20">
        <f t="shared" si="28"/>
        <v>7</v>
      </c>
      <c r="AK78" s="20" t="str">
        <f t="shared" si="29"/>
        <v>Abnormal</v>
      </c>
      <c r="AL78" s="20" t="str">
        <f t="shared" si="30"/>
        <v>Normal</v>
      </c>
      <c r="AM78" s="20" t="str">
        <f t="shared" si="31"/>
        <v>Normal</v>
      </c>
      <c r="AN78" s="20" t="str">
        <f t="shared" si="32"/>
        <v>Normal</v>
      </c>
      <c r="AO78" s="20" t="str">
        <f t="shared" si="33"/>
        <v>Normal</v>
      </c>
      <c r="AP78" s="20">
        <f t="shared" si="34"/>
        <v>16</v>
      </c>
      <c r="AQ78" s="20" t="str">
        <f t="shared" si="35"/>
        <v>Borderline</v>
      </c>
    </row>
    <row r="79" spans="1:43" x14ac:dyDescent="0.3">
      <c r="A79" s="19" t="str">
        <f>Responses!A79</f>
        <v>WJE4Vka</v>
      </c>
      <c r="B79" s="19" t="str">
        <f>Responses!B79</f>
        <v>Np4kMpj</v>
      </c>
      <c r="C79" s="19">
        <f>Responses!C79</f>
        <v>46136.1016087963</v>
      </c>
      <c r="D79" s="19" t="str">
        <f>Responses!D79</f>
        <v>Salma Taqiyyatunnisa</v>
      </c>
      <c r="E79" s="19" t="str">
        <f>Responses!E79</f>
        <v>XI-3</v>
      </c>
      <c r="F79" s="19">
        <f>Responses!F79</f>
        <v>17</v>
      </c>
      <c r="G79" s="8">
        <f>IF(Responses!G79="","",IF(Responses!G79="Benar",2,IF(Responses!G79="Agak Benar",1,0)))</f>
        <v>2</v>
      </c>
      <c r="H79" s="8">
        <f>IF(Responses!H79="","",IF(Responses!H79="Benar",2,IF(Responses!H79="Agak Benar",1,0)))</f>
        <v>1</v>
      </c>
      <c r="I79" s="8">
        <f>IF(Responses!I79="","",IF(Responses!I79="Benar",2,IF(Responses!I79="Agak Benar",1,0)))</f>
        <v>1</v>
      </c>
      <c r="J79" s="8">
        <f>IF(Responses!J79="","",IF(Responses!J79="Benar",2,IF(Responses!J79="Agak Benar",1,0)))</f>
        <v>2</v>
      </c>
      <c r="K79" s="8">
        <f>IF(Responses!K79="","",IF(Responses!K79="Benar",2,IF(Responses!K79="Agak Benar",1,0)))</f>
        <v>1</v>
      </c>
      <c r="L79" s="8">
        <f>IF(Responses!L79="","",IF(Responses!L79="Benar",2,IF(Responses!L79="Agak Benar",1,0)))</f>
        <v>0</v>
      </c>
      <c r="M79" s="8">
        <f>IF(Responses!M79="","",IF(Responses!M79="Tidak Benar",2,IF(Responses!M79="Agak Benar",1,0)))</f>
        <v>1</v>
      </c>
      <c r="N79" s="8">
        <f>IF(Responses!N79="","",IF(Responses!N79="Benar",2,IF(Responses!N79="Agak Benar",1,0)))</f>
        <v>1</v>
      </c>
      <c r="O79" s="8">
        <f>IF(Responses!O79="","",IF(Responses!O79="Benar",2,IF(Responses!O79="Agak Benar",1,0)))</f>
        <v>2</v>
      </c>
      <c r="P79" s="8">
        <f>IF(Responses!P79="","",IF(Responses!P79="Benar",2,IF(Responses!P79="Agak Benar",1,0)))</f>
        <v>2</v>
      </c>
      <c r="Q79" s="8">
        <f>IF(Responses!Q79="","",IF(Responses!Q79="Tidak Benar",2,IF(Responses!Q79="Agak Benar",1,0)))</f>
        <v>0</v>
      </c>
      <c r="R79" s="8">
        <f>IF(Responses!R79="","",IF(Responses!R79="Benar",2,IF(Responses!R79="Agak Benar",1,0)))</f>
        <v>0</v>
      </c>
      <c r="S79" s="8">
        <f>IF(Responses!S79="","",IF(Responses!S79="Benar",2,IF(Responses!S79="Agak Benar",1,0)))</f>
        <v>1</v>
      </c>
      <c r="T79" s="8">
        <f>IF(Responses!T79="","",IF(Responses!T79="Tidak Benar",2,IF(Responses!T79="Agak Benar",1,0)))</f>
        <v>1</v>
      </c>
      <c r="U79" s="8">
        <f>IF(Responses!U79="","",IF(Responses!U79="Benar",2,IF(Responses!U79="Agak Benar",1,0)))</f>
        <v>0</v>
      </c>
      <c r="V79" s="8">
        <f>IF(Responses!V79="","",IF(Responses!V79="Benar",2,IF(Responses!V79="Agak Benar",1,0)))</f>
        <v>0</v>
      </c>
      <c r="W79" s="8">
        <f>IF(Responses!W79="","",IF(Responses!W79="Benar",2,IF(Responses!W79="Agak Benar",1,0)))</f>
        <v>2</v>
      </c>
      <c r="X79" s="8">
        <f>IF(Responses!X79="","",IF(Responses!X79="Benar",2,IF(Responses!X79="Agak Benar",1,0)))</f>
        <v>0</v>
      </c>
      <c r="Y79" s="8">
        <f>IF(Responses!Y79="","",IF(Responses!Y79="Benar",2,IF(Responses!Y79="Agak Benar",1,0)))</f>
        <v>0</v>
      </c>
      <c r="Z79" s="8">
        <f>IF(Responses!Z79="","",IF(Responses!Z79="Benar",2,IF(Responses!Z79="Agak Benar",1,0)))</f>
        <v>2</v>
      </c>
      <c r="AA79" s="8">
        <f>IF(Responses!AA79="","",IF(Responses!AA79="Tidak Benar",2,IF(Responses!AA79="Agak Benar",1,0)))</f>
        <v>0</v>
      </c>
      <c r="AB79" s="8">
        <f>IF(Responses!AB79="","",IF(Responses!AB79="Benar",2,IF(Responses!AB79="Agak Benar",1,0)))</f>
        <v>0</v>
      </c>
      <c r="AC79" s="8">
        <f>IF(Responses!AC79="","",IF(Responses!AC79="Benar",2,IF(Responses!AC79="Agak Benar",1,0)))</f>
        <v>1</v>
      </c>
      <c r="AD79" s="8">
        <f>IF(Responses!AD79="","",IF(Responses!AD79="Benar",2,IF(Responses!AD79="Agak Benar",1,0)))</f>
        <v>1</v>
      </c>
      <c r="AE79" s="8">
        <f>IF(Responses!AE79="","",IF(Responses!AE79="Tidak Benar",2,IF(Responses!AE79="Agak Benar",1,0)))</f>
        <v>0</v>
      </c>
      <c r="AF79" s="20">
        <f t="shared" si="24"/>
        <v>4</v>
      </c>
      <c r="AG79" s="20">
        <f t="shared" si="25"/>
        <v>2</v>
      </c>
      <c r="AH79" s="20">
        <f t="shared" si="26"/>
        <v>3</v>
      </c>
      <c r="AI79" s="20">
        <f t="shared" si="27"/>
        <v>2</v>
      </c>
      <c r="AJ79" s="20">
        <f t="shared" si="28"/>
        <v>10</v>
      </c>
      <c r="AK79" s="20" t="str">
        <f t="shared" si="29"/>
        <v>Normal</v>
      </c>
      <c r="AL79" s="20" t="str">
        <f t="shared" si="30"/>
        <v>Normal</v>
      </c>
      <c r="AM79" s="20" t="str">
        <f t="shared" si="31"/>
        <v>Normal</v>
      </c>
      <c r="AN79" s="20" t="str">
        <f t="shared" si="32"/>
        <v>Normal</v>
      </c>
      <c r="AO79" s="20" t="str">
        <f t="shared" si="33"/>
        <v>Normal</v>
      </c>
      <c r="AP79" s="20">
        <f t="shared" si="34"/>
        <v>11</v>
      </c>
      <c r="AQ79" s="20" t="str">
        <f t="shared" si="35"/>
        <v>Normal</v>
      </c>
    </row>
    <row r="80" spans="1:43" x14ac:dyDescent="0.3">
      <c r="A80" s="19" t="str">
        <f>Responses!A80</f>
        <v>8Na9lol</v>
      </c>
      <c r="B80" s="19" t="str">
        <f>Responses!B80</f>
        <v>ob0WKdM</v>
      </c>
      <c r="C80" s="19">
        <f>Responses!C80</f>
        <v>46136.101678240739</v>
      </c>
      <c r="D80" s="19" t="str">
        <f>Responses!D80</f>
        <v xml:space="preserve">Aquilla Keyza Rahardian Alfariz </v>
      </c>
      <c r="E80" s="19" t="str">
        <f>Responses!E80</f>
        <v>XI-3</v>
      </c>
      <c r="F80" s="19">
        <f>Responses!F80</f>
        <v>17</v>
      </c>
      <c r="G80" s="8">
        <f>IF(Responses!G80="","",IF(Responses!G80="Benar",2,IF(Responses!G80="Agak Benar",1,0)))</f>
        <v>2</v>
      </c>
      <c r="H80" s="8">
        <f>IF(Responses!H80="","",IF(Responses!H80="Benar",2,IF(Responses!H80="Agak Benar",1,0)))</f>
        <v>1</v>
      </c>
      <c r="I80" s="8">
        <f>IF(Responses!I80="","",IF(Responses!I80="Benar",2,IF(Responses!I80="Agak Benar",1,0)))</f>
        <v>1</v>
      </c>
      <c r="J80" s="8">
        <f>IF(Responses!J80="","",IF(Responses!J80="Benar",2,IF(Responses!J80="Agak Benar",1,0)))</f>
        <v>2</v>
      </c>
      <c r="K80" s="8">
        <f>IF(Responses!K80="","",IF(Responses!K80="Benar",2,IF(Responses!K80="Agak Benar",1,0)))</f>
        <v>0</v>
      </c>
      <c r="L80" s="8">
        <f>IF(Responses!L80="","",IF(Responses!L80="Benar",2,IF(Responses!L80="Agak Benar",1,0)))</f>
        <v>0</v>
      </c>
      <c r="M80" s="8">
        <f>IF(Responses!M80="","",IF(Responses!M80="Tidak Benar",2,IF(Responses!M80="Agak Benar",1,0)))</f>
        <v>2</v>
      </c>
      <c r="N80" s="8">
        <f>IF(Responses!N80="","",IF(Responses!N80="Benar",2,IF(Responses!N80="Agak Benar",1,0)))</f>
        <v>1</v>
      </c>
      <c r="O80" s="8">
        <f>IF(Responses!O80="","",IF(Responses!O80="Benar",2,IF(Responses!O80="Agak Benar",1,0)))</f>
        <v>1</v>
      </c>
      <c r="P80" s="8">
        <f>IF(Responses!P80="","",IF(Responses!P80="Benar",2,IF(Responses!P80="Agak Benar",1,0)))</f>
        <v>2</v>
      </c>
      <c r="Q80" s="8">
        <f>IF(Responses!Q80="","",IF(Responses!Q80="Tidak Benar",2,IF(Responses!Q80="Agak Benar",1,0)))</f>
        <v>0</v>
      </c>
      <c r="R80" s="8">
        <f>IF(Responses!R80="","",IF(Responses!R80="Benar",2,IF(Responses!R80="Agak Benar",1,0)))</f>
        <v>0</v>
      </c>
      <c r="S80" s="8">
        <f>IF(Responses!S80="","",IF(Responses!S80="Benar",2,IF(Responses!S80="Agak Benar",1,0)))</f>
        <v>0</v>
      </c>
      <c r="T80" s="8">
        <f>IF(Responses!T80="","",IF(Responses!T80="Tidak Benar",2,IF(Responses!T80="Agak Benar",1,0)))</f>
        <v>0</v>
      </c>
      <c r="U80" s="8">
        <f>IF(Responses!U80="","",IF(Responses!U80="Benar",2,IF(Responses!U80="Agak Benar",1,0)))</f>
        <v>0</v>
      </c>
      <c r="V80" s="8">
        <f>IF(Responses!V80="","",IF(Responses!V80="Benar",2,IF(Responses!V80="Agak Benar",1,0)))</f>
        <v>0</v>
      </c>
      <c r="W80" s="8">
        <f>IF(Responses!W80="","",IF(Responses!W80="Benar",2,IF(Responses!W80="Agak Benar",1,0)))</f>
        <v>2</v>
      </c>
      <c r="X80" s="8">
        <f>IF(Responses!X80="","",IF(Responses!X80="Benar",2,IF(Responses!X80="Agak Benar",1,0)))</f>
        <v>0</v>
      </c>
      <c r="Y80" s="8">
        <f>IF(Responses!Y80="","",IF(Responses!Y80="Benar",2,IF(Responses!Y80="Agak Benar",1,0)))</f>
        <v>0</v>
      </c>
      <c r="Z80" s="8">
        <f>IF(Responses!Z80="","",IF(Responses!Z80="Benar",2,IF(Responses!Z80="Agak Benar",1,0)))</f>
        <v>1</v>
      </c>
      <c r="AA80" s="8">
        <f>IF(Responses!AA80="","",IF(Responses!AA80="Tidak Benar",2,IF(Responses!AA80="Agak Benar",1,0)))</f>
        <v>0</v>
      </c>
      <c r="AB80" s="8">
        <f>IF(Responses!AB80="","",IF(Responses!AB80="Benar",2,IF(Responses!AB80="Agak Benar",1,0)))</f>
        <v>0</v>
      </c>
      <c r="AC80" s="8">
        <f>IF(Responses!AC80="","",IF(Responses!AC80="Benar",2,IF(Responses!AC80="Agak Benar",1,0)))</f>
        <v>0</v>
      </c>
      <c r="AD80" s="8">
        <f>IF(Responses!AD80="","",IF(Responses!AD80="Benar",2,IF(Responses!AD80="Agak Benar",1,0)))</f>
        <v>0</v>
      </c>
      <c r="AE80" s="8">
        <f>IF(Responses!AE80="","",IF(Responses!AE80="Tidak Benar",2,IF(Responses!AE80="Agak Benar",1,0)))</f>
        <v>0</v>
      </c>
      <c r="AF80" s="20">
        <f t="shared" si="24"/>
        <v>2</v>
      </c>
      <c r="AG80" s="20">
        <f t="shared" si="25"/>
        <v>2</v>
      </c>
      <c r="AH80" s="20">
        <f t="shared" si="26"/>
        <v>3</v>
      </c>
      <c r="AI80" s="20">
        <f t="shared" si="27"/>
        <v>0</v>
      </c>
      <c r="AJ80" s="20">
        <f t="shared" si="28"/>
        <v>8</v>
      </c>
      <c r="AK80" s="20" t="str">
        <f t="shared" si="29"/>
        <v>Normal</v>
      </c>
      <c r="AL80" s="20" t="str">
        <f t="shared" si="30"/>
        <v>Normal</v>
      </c>
      <c r="AM80" s="20" t="str">
        <f t="shared" si="31"/>
        <v>Normal</v>
      </c>
      <c r="AN80" s="20" t="str">
        <f t="shared" si="32"/>
        <v>Normal</v>
      </c>
      <c r="AO80" s="20" t="str">
        <f t="shared" si="33"/>
        <v>Normal</v>
      </c>
      <c r="AP80" s="20">
        <f t="shared" si="34"/>
        <v>7</v>
      </c>
      <c r="AQ80" s="20" t="str">
        <f t="shared" si="35"/>
        <v>Normal</v>
      </c>
    </row>
    <row r="81" spans="1:43" x14ac:dyDescent="0.3">
      <c r="A81" s="19" t="str">
        <f>Responses!A81</f>
        <v>9N9eKqE</v>
      </c>
      <c r="B81" s="19" t="str">
        <f>Responses!B81</f>
        <v>kd0qKWj</v>
      </c>
      <c r="C81" s="19">
        <f>Responses!C81</f>
        <v>46136.101678240739</v>
      </c>
      <c r="D81" s="19" t="str">
        <f>Responses!D81</f>
        <v xml:space="preserve">Muthia Orshida Ibrohim </v>
      </c>
      <c r="E81" s="19" t="str">
        <f>Responses!E81</f>
        <v>XI-3</v>
      </c>
      <c r="F81" s="19">
        <f>Responses!F81</f>
        <v>17</v>
      </c>
      <c r="G81" s="8">
        <f>IF(Responses!G81="","",IF(Responses!G81="Benar",2,IF(Responses!G81="Agak Benar",1,0)))</f>
        <v>2</v>
      </c>
      <c r="H81" s="8">
        <f>IF(Responses!H81="","",IF(Responses!H81="Benar",2,IF(Responses!H81="Agak Benar",1,0)))</f>
        <v>1</v>
      </c>
      <c r="I81" s="8">
        <f>IF(Responses!I81="","",IF(Responses!I81="Benar",2,IF(Responses!I81="Agak Benar",1,0)))</f>
        <v>0</v>
      </c>
      <c r="J81" s="8">
        <f>IF(Responses!J81="","",IF(Responses!J81="Benar",2,IF(Responses!J81="Agak Benar",1,0)))</f>
        <v>2</v>
      </c>
      <c r="K81" s="8">
        <f>IF(Responses!K81="","",IF(Responses!K81="Benar",2,IF(Responses!K81="Agak Benar",1,0)))</f>
        <v>1</v>
      </c>
      <c r="L81" s="8">
        <f>IF(Responses!L81="","",IF(Responses!L81="Benar",2,IF(Responses!L81="Agak Benar",1,0)))</f>
        <v>1</v>
      </c>
      <c r="M81" s="8">
        <f>IF(Responses!M81="","",IF(Responses!M81="Tidak Benar",2,IF(Responses!M81="Agak Benar",1,0)))</f>
        <v>0</v>
      </c>
      <c r="N81" s="8">
        <f>IF(Responses!N81="","",IF(Responses!N81="Benar",2,IF(Responses!N81="Agak Benar",1,0)))</f>
        <v>2</v>
      </c>
      <c r="O81" s="8">
        <f>IF(Responses!O81="","",IF(Responses!O81="Benar",2,IF(Responses!O81="Agak Benar",1,0)))</f>
        <v>2</v>
      </c>
      <c r="P81" s="8">
        <f>IF(Responses!P81="","",IF(Responses!P81="Benar",2,IF(Responses!P81="Agak Benar",1,0)))</f>
        <v>1</v>
      </c>
      <c r="Q81" s="8">
        <f>IF(Responses!Q81="","",IF(Responses!Q81="Tidak Benar",2,IF(Responses!Q81="Agak Benar",1,0)))</f>
        <v>0</v>
      </c>
      <c r="R81" s="8">
        <f>IF(Responses!R81="","",IF(Responses!R81="Benar",2,IF(Responses!R81="Agak Benar",1,0)))</f>
        <v>0</v>
      </c>
      <c r="S81" s="8">
        <f>IF(Responses!S81="","",IF(Responses!S81="Benar",2,IF(Responses!S81="Agak Benar",1,0)))</f>
        <v>1</v>
      </c>
      <c r="T81" s="8">
        <f>IF(Responses!T81="","",IF(Responses!T81="Tidak Benar",2,IF(Responses!T81="Agak Benar",1,0)))</f>
        <v>1</v>
      </c>
      <c r="U81" s="8">
        <f>IF(Responses!U81="","",IF(Responses!U81="Benar",2,IF(Responses!U81="Agak Benar",1,0)))</f>
        <v>1</v>
      </c>
      <c r="V81" s="8">
        <f>IF(Responses!V81="","",IF(Responses!V81="Benar",2,IF(Responses!V81="Agak Benar",1,0)))</f>
        <v>2</v>
      </c>
      <c r="W81" s="8">
        <f>IF(Responses!W81="","",IF(Responses!W81="Benar",2,IF(Responses!W81="Agak Benar",1,0)))</f>
        <v>2</v>
      </c>
      <c r="X81" s="8">
        <f>IF(Responses!X81="","",IF(Responses!X81="Benar",2,IF(Responses!X81="Agak Benar",1,0)))</f>
        <v>0</v>
      </c>
      <c r="Y81" s="8">
        <f>IF(Responses!Y81="","",IF(Responses!Y81="Benar",2,IF(Responses!Y81="Agak Benar",1,0)))</f>
        <v>1</v>
      </c>
      <c r="Z81" s="8">
        <f>IF(Responses!Z81="","",IF(Responses!Z81="Benar",2,IF(Responses!Z81="Agak Benar",1,0)))</f>
        <v>1</v>
      </c>
      <c r="AA81" s="8">
        <f>IF(Responses!AA81="","",IF(Responses!AA81="Tidak Benar",2,IF(Responses!AA81="Agak Benar",1,0)))</f>
        <v>1</v>
      </c>
      <c r="AB81" s="8">
        <f>IF(Responses!AB81="","",IF(Responses!AB81="Benar",2,IF(Responses!AB81="Agak Benar",1,0)))</f>
        <v>0</v>
      </c>
      <c r="AC81" s="8">
        <f>IF(Responses!AC81="","",IF(Responses!AC81="Benar",2,IF(Responses!AC81="Agak Benar",1,0)))</f>
        <v>0</v>
      </c>
      <c r="AD81" s="8">
        <f>IF(Responses!AD81="","",IF(Responses!AD81="Benar",2,IF(Responses!AD81="Agak Benar",1,0)))</f>
        <v>1</v>
      </c>
      <c r="AE81" s="8">
        <f>IF(Responses!AE81="","",IF(Responses!AE81="Tidak Benar",2,IF(Responses!AE81="Agak Benar",1,0)))</f>
        <v>0</v>
      </c>
      <c r="AF81" s="20">
        <f t="shared" si="24"/>
        <v>6</v>
      </c>
      <c r="AG81" s="20">
        <f t="shared" si="25"/>
        <v>1</v>
      </c>
      <c r="AH81" s="20">
        <f t="shared" si="26"/>
        <v>4</v>
      </c>
      <c r="AI81" s="20">
        <f t="shared" si="27"/>
        <v>3</v>
      </c>
      <c r="AJ81" s="20">
        <f t="shared" si="28"/>
        <v>9</v>
      </c>
      <c r="AK81" s="20" t="str">
        <f t="shared" si="29"/>
        <v>Borderline</v>
      </c>
      <c r="AL81" s="20" t="str">
        <f t="shared" si="30"/>
        <v>Normal</v>
      </c>
      <c r="AM81" s="20" t="str">
        <f t="shared" si="31"/>
        <v>Normal</v>
      </c>
      <c r="AN81" s="20" t="str">
        <f t="shared" si="32"/>
        <v>Normal</v>
      </c>
      <c r="AO81" s="20" t="str">
        <f t="shared" si="33"/>
        <v>Normal</v>
      </c>
      <c r="AP81" s="20">
        <f t="shared" si="34"/>
        <v>14</v>
      </c>
      <c r="AQ81" s="20" t="str">
        <f t="shared" si="35"/>
        <v>Normal</v>
      </c>
    </row>
    <row r="82" spans="1:43" x14ac:dyDescent="0.3">
      <c r="A82" s="19" t="str">
        <f>Responses!A82</f>
        <v>je6KVBx</v>
      </c>
      <c r="B82" s="19" t="str">
        <f>Responses!B82</f>
        <v>GxoWX7L</v>
      </c>
      <c r="C82" s="19">
        <f>Responses!C82</f>
        <v>46136.101724537039</v>
      </c>
      <c r="D82" s="19" t="str">
        <f>Responses!D82</f>
        <v xml:space="preserve">R. Raihan Pratama </v>
      </c>
      <c r="E82" s="19" t="str">
        <f>Responses!E82</f>
        <v>XI-3</v>
      </c>
      <c r="F82" s="19">
        <f>Responses!F82</f>
        <v>17</v>
      </c>
      <c r="G82" s="8">
        <f>IF(Responses!G82="","",IF(Responses!G82="Benar",2,IF(Responses!G82="Agak Benar",1,0)))</f>
        <v>2</v>
      </c>
      <c r="H82" s="8">
        <f>IF(Responses!H82="","",IF(Responses!H82="Benar",2,IF(Responses!H82="Agak Benar",1,0)))</f>
        <v>1</v>
      </c>
      <c r="I82" s="8">
        <f>IF(Responses!I82="","",IF(Responses!I82="Benar",2,IF(Responses!I82="Agak Benar",1,0)))</f>
        <v>0</v>
      </c>
      <c r="J82" s="8">
        <f>IF(Responses!J82="","",IF(Responses!J82="Benar",2,IF(Responses!J82="Agak Benar",1,0)))</f>
        <v>2</v>
      </c>
      <c r="K82" s="8">
        <f>IF(Responses!K82="","",IF(Responses!K82="Benar",2,IF(Responses!K82="Agak Benar",1,0)))</f>
        <v>1</v>
      </c>
      <c r="L82" s="8">
        <f>IF(Responses!L82="","",IF(Responses!L82="Benar",2,IF(Responses!L82="Agak Benar",1,0)))</f>
        <v>2</v>
      </c>
      <c r="M82" s="8">
        <f>IF(Responses!M82="","",IF(Responses!M82="Tidak Benar",2,IF(Responses!M82="Agak Benar",1,0)))</f>
        <v>1</v>
      </c>
      <c r="N82" s="8">
        <f>IF(Responses!N82="","",IF(Responses!N82="Benar",2,IF(Responses!N82="Agak Benar",1,0)))</f>
        <v>2</v>
      </c>
      <c r="O82" s="8">
        <f>IF(Responses!O82="","",IF(Responses!O82="Benar",2,IF(Responses!O82="Agak Benar",1,0)))</f>
        <v>2</v>
      </c>
      <c r="P82" s="8">
        <f>IF(Responses!P82="","",IF(Responses!P82="Benar",2,IF(Responses!P82="Agak Benar",1,0)))</f>
        <v>2</v>
      </c>
      <c r="Q82" s="8">
        <f>IF(Responses!Q82="","",IF(Responses!Q82="Tidak Benar",2,IF(Responses!Q82="Agak Benar",1,0)))</f>
        <v>0</v>
      </c>
      <c r="R82" s="8">
        <f>IF(Responses!R82="","",IF(Responses!R82="Benar",2,IF(Responses!R82="Agak Benar",1,0)))</f>
        <v>0</v>
      </c>
      <c r="S82" s="8">
        <f>IF(Responses!S82="","",IF(Responses!S82="Benar",2,IF(Responses!S82="Agak Benar",1,0)))</f>
        <v>1</v>
      </c>
      <c r="T82" s="8">
        <f>IF(Responses!T82="","",IF(Responses!T82="Tidak Benar",2,IF(Responses!T82="Agak Benar",1,0)))</f>
        <v>0</v>
      </c>
      <c r="U82" s="8">
        <f>IF(Responses!U82="","",IF(Responses!U82="Benar",2,IF(Responses!U82="Agak Benar",1,0)))</f>
        <v>1</v>
      </c>
      <c r="V82" s="8">
        <f>IF(Responses!V82="","",IF(Responses!V82="Benar",2,IF(Responses!V82="Agak Benar",1,0)))</f>
        <v>2</v>
      </c>
      <c r="W82" s="8">
        <f>IF(Responses!W82="","",IF(Responses!W82="Benar",2,IF(Responses!W82="Agak Benar",1,0)))</f>
        <v>2</v>
      </c>
      <c r="X82" s="8">
        <f>IF(Responses!X82="","",IF(Responses!X82="Benar",2,IF(Responses!X82="Agak Benar",1,0)))</f>
        <v>0</v>
      </c>
      <c r="Y82" s="8">
        <f>IF(Responses!Y82="","",IF(Responses!Y82="Benar",2,IF(Responses!Y82="Agak Benar",1,0)))</f>
        <v>0</v>
      </c>
      <c r="Z82" s="8">
        <f>IF(Responses!Z82="","",IF(Responses!Z82="Benar",2,IF(Responses!Z82="Agak Benar",1,0)))</f>
        <v>1</v>
      </c>
      <c r="AA82" s="8">
        <f>IF(Responses!AA82="","",IF(Responses!AA82="Tidak Benar",2,IF(Responses!AA82="Agak Benar",1,0)))</f>
        <v>0</v>
      </c>
      <c r="AB82" s="8">
        <f>IF(Responses!AB82="","",IF(Responses!AB82="Benar",2,IF(Responses!AB82="Agak Benar",1,0)))</f>
        <v>0</v>
      </c>
      <c r="AC82" s="8">
        <f>IF(Responses!AC82="","",IF(Responses!AC82="Benar",2,IF(Responses!AC82="Agak Benar",1,0)))</f>
        <v>1</v>
      </c>
      <c r="AD82" s="8">
        <f>IF(Responses!AD82="","",IF(Responses!AD82="Benar",2,IF(Responses!AD82="Agak Benar",1,0)))</f>
        <v>0</v>
      </c>
      <c r="AE82" s="8">
        <f>IF(Responses!AE82="","",IF(Responses!AE82="Tidak Benar",2,IF(Responses!AE82="Agak Benar",1,0)))</f>
        <v>0</v>
      </c>
      <c r="AF82" s="20">
        <f t="shared" si="24"/>
        <v>5</v>
      </c>
      <c r="AG82" s="20">
        <f t="shared" si="25"/>
        <v>2</v>
      </c>
      <c r="AH82" s="20">
        <f t="shared" si="26"/>
        <v>4</v>
      </c>
      <c r="AI82" s="20">
        <f t="shared" si="27"/>
        <v>3</v>
      </c>
      <c r="AJ82" s="20">
        <f t="shared" si="28"/>
        <v>9</v>
      </c>
      <c r="AK82" s="20" t="str">
        <f t="shared" si="29"/>
        <v>Normal</v>
      </c>
      <c r="AL82" s="20" t="str">
        <f t="shared" si="30"/>
        <v>Normal</v>
      </c>
      <c r="AM82" s="20" t="str">
        <f t="shared" si="31"/>
        <v>Normal</v>
      </c>
      <c r="AN82" s="20" t="str">
        <f t="shared" si="32"/>
        <v>Normal</v>
      </c>
      <c r="AO82" s="20" t="str">
        <f t="shared" si="33"/>
        <v>Normal</v>
      </c>
      <c r="AP82" s="20">
        <f t="shared" si="34"/>
        <v>14</v>
      </c>
      <c r="AQ82" s="20" t="str">
        <f t="shared" si="35"/>
        <v>Normal</v>
      </c>
    </row>
    <row r="83" spans="1:43" x14ac:dyDescent="0.3">
      <c r="A83" s="19" t="str">
        <f>Responses!A83</f>
        <v>rDaXZGp</v>
      </c>
      <c r="B83" s="19" t="str">
        <f>Responses!B83</f>
        <v>GxoWXOo</v>
      </c>
      <c r="C83" s="19">
        <f>Responses!C83</f>
        <v>46136.101770833331</v>
      </c>
      <c r="D83" s="19" t="str">
        <f>Responses!D83</f>
        <v xml:space="preserve">Patricia Estherias Kusuma </v>
      </c>
      <c r="E83" s="19" t="str">
        <f>Responses!E83</f>
        <v>XI-3</v>
      </c>
      <c r="F83" s="19">
        <f>Responses!F83</f>
        <v>16</v>
      </c>
      <c r="G83" s="8">
        <f>IF(Responses!G83="","",IF(Responses!G83="Benar",2,IF(Responses!G83="Agak Benar",1,0)))</f>
        <v>2</v>
      </c>
      <c r="H83" s="8">
        <f>IF(Responses!H83="","",IF(Responses!H83="Benar",2,IF(Responses!H83="Agak Benar",1,0)))</f>
        <v>1</v>
      </c>
      <c r="I83" s="8">
        <f>IF(Responses!I83="","",IF(Responses!I83="Benar",2,IF(Responses!I83="Agak Benar",1,0)))</f>
        <v>1</v>
      </c>
      <c r="J83" s="8">
        <f>IF(Responses!J83="","",IF(Responses!J83="Benar",2,IF(Responses!J83="Agak Benar",1,0)))</f>
        <v>2</v>
      </c>
      <c r="K83" s="8">
        <f>IF(Responses!K83="","",IF(Responses!K83="Benar",2,IF(Responses!K83="Agak Benar",1,0)))</f>
        <v>1</v>
      </c>
      <c r="L83" s="8">
        <f>IF(Responses!L83="","",IF(Responses!L83="Benar",2,IF(Responses!L83="Agak Benar",1,0)))</f>
        <v>1</v>
      </c>
      <c r="M83" s="8">
        <f>IF(Responses!M83="","",IF(Responses!M83="Tidak Benar",2,IF(Responses!M83="Agak Benar",1,0)))</f>
        <v>1</v>
      </c>
      <c r="N83" s="8">
        <f>IF(Responses!N83="","",IF(Responses!N83="Benar",2,IF(Responses!N83="Agak Benar",1,0)))</f>
        <v>1</v>
      </c>
      <c r="O83" s="8">
        <f>IF(Responses!O83="","",IF(Responses!O83="Benar",2,IF(Responses!O83="Agak Benar",1,0)))</f>
        <v>2</v>
      </c>
      <c r="P83" s="8">
        <f>IF(Responses!P83="","",IF(Responses!P83="Benar",2,IF(Responses!P83="Agak Benar",1,0)))</f>
        <v>1</v>
      </c>
      <c r="Q83" s="8">
        <f>IF(Responses!Q83="","",IF(Responses!Q83="Tidak Benar",2,IF(Responses!Q83="Agak Benar",1,0)))</f>
        <v>0</v>
      </c>
      <c r="R83" s="8">
        <f>IF(Responses!R83="","",IF(Responses!R83="Benar",2,IF(Responses!R83="Agak Benar",1,0)))</f>
        <v>0</v>
      </c>
      <c r="S83" s="8">
        <f>IF(Responses!S83="","",IF(Responses!S83="Benar",2,IF(Responses!S83="Agak Benar",1,0)))</f>
        <v>1</v>
      </c>
      <c r="T83" s="8">
        <f>IF(Responses!T83="","",IF(Responses!T83="Tidak Benar",2,IF(Responses!T83="Agak Benar",1,0)))</f>
        <v>1</v>
      </c>
      <c r="U83" s="8">
        <f>IF(Responses!U83="","",IF(Responses!U83="Benar",2,IF(Responses!U83="Agak Benar",1,0)))</f>
        <v>2</v>
      </c>
      <c r="V83" s="8">
        <f>IF(Responses!V83="","",IF(Responses!V83="Benar",2,IF(Responses!V83="Agak Benar",1,0)))</f>
        <v>2</v>
      </c>
      <c r="W83" s="8">
        <f>IF(Responses!W83="","",IF(Responses!W83="Benar",2,IF(Responses!W83="Agak Benar",1,0)))</f>
        <v>2</v>
      </c>
      <c r="X83" s="8">
        <f>IF(Responses!X83="","",IF(Responses!X83="Benar",2,IF(Responses!X83="Agak Benar",1,0)))</f>
        <v>1</v>
      </c>
      <c r="Y83" s="8">
        <f>IF(Responses!Y83="","",IF(Responses!Y83="Benar",2,IF(Responses!Y83="Agak Benar",1,0)))</f>
        <v>0</v>
      </c>
      <c r="Z83" s="8">
        <f>IF(Responses!Z83="","",IF(Responses!Z83="Benar",2,IF(Responses!Z83="Agak Benar",1,0)))</f>
        <v>1</v>
      </c>
      <c r="AA83" s="8">
        <f>IF(Responses!AA83="","",IF(Responses!AA83="Tidak Benar",2,IF(Responses!AA83="Agak Benar",1,0)))</f>
        <v>0</v>
      </c>
      <c r="AB83" s="8">
        <f>IF(Responses!AB83="","",IF(Responses!AB83="Benar",2,IF(Responses!AB83="Agak Benar",1,0)))</f>
        <v>0</v>
      </c>
      <c r="AC83" s="8">
        <f>IF(Responses!AC83="","",IF(Responses!AC83="Benar",2,IF(Responses!AC83="Agak Benar",1,0)))</f>
        <v>1</v>
      </c>
      <c r="AD83" s="8">
        <f>IF(Responses!AD83="","",IF(Responses!AD83="Benar",2,IF(Responses!AD83="Agak Benar",1,0)))</f>
        <v>1</v>
      </c>
      <c r="AE83" s="8">
        <f>IF(Responses!AE83="","",IF(Responses!AE83="Tidak Benar",2,IF(Responses!AE83="Agak Benar",1,0)))</f>
        <v>1</v>
      </c>
      <c r="AF83" s="20">
        <f t="shared" si="24"/>
        <v>6</v>
      </c>
      <c r="AG83" s="20">
        <f t="shared" si="25"/>
        <v>3</v>
      </c>
      <c r="AH83" s="20">
        <f t="shared" si="26"/>
        <v>5</v>
      </c>
      <c r="AI83" s="20">
        <f t="shared" si="27"/>
        <v>3</v>
      </c>
      <c r="AJ83" s="20">
        <f t="shared" si="28"/>
        <v>9</v>
      </c>
      <c r="AK83" s="20" t="str">
        <f t="shared" si="29"/>
        <v>Borderline</v>
      </c>
      <c r="AL83" s="20" t="str">
        <f t="shared" si="30"/>
        <v>Normal</v>
      </c>
      <c r="AM83" s="20" t="str">
        <f t="shared" si="31"/>
        <v>Normal</v>
      </c>
      <c r="AN83" s="20" t="str">
        <f t="shared" si="32"/>
        <v>Normal</v>
      </c>
      <c r="AO83" s="20" t="str">
        <f t="shared" si="33"/>
        <v>Normal</v>
      </c>
      <c r="AP83" s="20">
        <f t="shared" si="34"/>
        <v>17</v>
      </c>
      <c r="AQ83" s="20" t="str">
        <f t="shared" si="35"/>
        <v>Borderline</v>
      </c>
    </row>
    <row r="84" spans="1:43" x14ac:dyDescent="0.3">
      <c r="A84" s="19" t="str">
        <f>Responses!A84</f>
        <v>RWMO9VQ</v>
      </c>
      <c r="B84" s="19" t="str">
        <f>Responses!B84</f>
        <v>yP0Lja0</v>
      </c>
      <c r="C84" s="19">
        <f>Responses!C84</f>
        <v>46136.101782407408</v>
      </c>
      <c r="D84" s="19" t="str">
        <f>Responses!D84</f>
        <v>Nandana Arfa Hanani</v>
      </c>
      <c r="E84" s="19" t="str">
        <f>Responses!E84</f>
        <v>XI-3</v>
      </c>
      <c r="F84" s="19">
        <f>Responses!F84</f>
        <v>16</v>
      </c>
      <c r="G84" s="8">
        <f>IF(Responses!G84="","",IF(Responses!G84="Benar",2,IF(Responses!G84="Agak Benar",1,0)))</f>
        <v>2</v>
      </c>
      <c r="H84" s="8">
        <f>IF(Responses!H84="","",IF(Responses!H84="Benar",2,IF(Responses!H84="Agak Benar",1,0)))</f>
        <v>2</v>
      </c>
      <c r="I84" s="8">
        <f>IF(Responses!I84="","",IF(Responses!I84="Benar",2,IF(Responses!I84="Agak Benar",1,0)))</f>
        <v>1</v>
      </c>
      <c r="J84" s="8">
        <f>IF(Responses!J84="","",IF(Responses!J84="Benar",2,IF(Responses!J84="Agak Benar",1,0)))</f>
        <v>1</v>
      </c>
      <c r="K84" s="8">
        <f>IF(Responses!K84="","",IF(Responses!K84="Benar",2,IF(Responses!K84="Agak Benar",1,0)))</f>
        <v>1</v>
      </c>
      <c r="L84" s="8">
        <f>IF(Responses!L84="","",IF(Responses!L84="Benar",2,IF(Responses!L84="Agak Benar",1,0)))</f>
        <v>0</v>
      </c>
      <c r="M84" s="8">
        <f>IF(Responses!M84="","",IF(Responses!M84="Tidak Benar",2,IF(Responses!M84="Agak Benar",1,0)))</f>
        <v>2</v>
      </c>
      <c r="N84" s="8">
        <f>IF(Responses!N84="","",IF(Responses!N84="Benar",2,IF(Responses!N84="Agak Benar",1,0)))</f>
        <v>1</v>
      </c>
      <c r="O84" s="8">
        <f>IF(Responses!O84="","",IF(Responses!O84="Benar",2,IF(Responses!O84="Agak Benar",1,0)))</f>
        <v>1</v>
      </c>
      <c r="P84" s="8">
        <f>IF(Responses!P84="","",IF(Responses!P84="Benar",2,IF(Responses!P84="Agak Benar",1,0)))</f>
        <v>0</v>
      </c>
      <c r="Q84" s="8">
        <f>IF(Responses!Q84="","",IF(Responses!Q84="Tidak Benar",2,IF(Responses!Q84="Agak Benar",1,0)))</f>
        <v>0</v>
      </c>
      <c r="R84" s="8">
        <f>IF(Responses!R84="","",IF(Responses!R84="Benar",2,IF(Responses!R84="Agak Benar",1,0)))</f>
        <v>0</v>
      </c>
      <c r="S84" s="8">
        <f>IF(Responses!S84="","",IF(Responses!S84="Benar",2,IF(Responses!S84="Agak Benar",1,0)))</f>
        <v>0</v>
      </c>
      <c r="T84" s="8">
        <f>IF(Responses!T84="","",IF(Responses!T84="Tidak Benar",2,IF(Responses!T84="Agak Benar",1,0)))</f>
        <v>1</v>
      </c>
      <c r="U84" s="8">
        <f>IF(Responses!U84="","",IF(Responses!U84="Benar",2,IF(Responses!U84="Agak Benar",1,0)))</f>
        <v>2</v>
      </c>
      <c r="V84" s="8">
        <f>IF(Responses!V84="","",IF(Responses!V84="Benar",2,IF(Responses!V84="Agak Benar",1,0)))</f>
        <v>1</v>
      </c>
      <c r="W84" s="8">
        <f>IF(Responses!W84="","",IF(Responses!W84="Benar",2,IF(Responses!W84="Agak Benar",1,0)))</f>
        <v>1</v>
      </c>
      <c r="X84" s="8">
        <f>IF(Responses!X84="","",IF(Responses!X84="Benar",2,IF(Responses!X84="Agak Benar",1,0)))</f>
        <v>1</v>
      </c>
      <c r="Y84" s="8">
        <f>IF(Responses!Y84="","",IF(Responses!Y84="Benar",2,IF(Responses!Y84="Agak Benar",1,0)))</f>
        <v>0</v>
      </c>
      <c r="Z84" s="8">
        <f>IF(Responses!Z84="","",IF(Responses!Z84="Benar",2,IF(Responses!Z84="Agak Benar",1,0)))</f>
        <v>1</v>
      </c>
      <c r="AA84" s="8">
        <f>IF(Responses!AA84="","",IF(Responses!AA84="Tidak Benar",2,IF(Responses!AA84="Agak Benar",1,0)))</f>
        <v>0</v>
      </c>
      <c r="AB84" s="8">
        <f>IF(Responses!AB84="","",IF(Responses!AB84="Benar",2,IF(Responses!AB84="Agak Benar",1,0)))</f>
        <v>0</v>
      </c>
      <c r="AC84" s="8">
        <f>IF(Responses!AC84="","",IF(Responses!AC84="Benar",2,IF(Responses!AC84="Agak Benar",1,0)))</f>
        <v>0</v>
      </c>
      <c r="AD84" s="8">
        <f>IF(Responses!AD84="","",IF(Responses!AD84="Benar",2,IF(Responses!AD84="Agak Benar",1,0)))</f>
        <v>1</v>
      </c>
      <c r="AE84" s="8">
        <f>IF(Responses!AE84="","",IF(Responses!AE84="Tidak Benar",2,IF(Responses!AE84="Agak Benar",1,0)))</f>
        <v>1</v>
      </c>
      <c r="AF84" s="20">
        <f t="shared" si="24"/>
        <v>4</v>
      </c>
      <c r="AG84" s="20">
        <f t="shared" si="25"/>
        <v>4</v>
      </c>
      <c r="AH84" s="20">
        <f t="shared" si="26"/>
        <v>5</v>
      </c>
      <c r="AI84" s="20">
        <f t="shared" si="27"/>
        <v>1</v>
      </c>
      <c r="AJ84" s="20">
        <f t="shared" si="28"/>
        <v>6</v>
      </c>
      <c r="AK84" s="20" t="str">
        <f t="shared" si="29"/>
        <v>Normal</v>
      </c>
      <c r="AL84" s="20" t="str">
        <f t="shared" si="30"/>
        <v>Borderline</v>
      </c>
      <c r="AM84" s="20" t="str">
        <f t="shared" si="31"/>
        <v>Normal</v>
      </c>
      <c r="AN84" s="20" t="str">
        <f t="shared" si="32"/>
        <v>Normal</v>
      </c>
      <c r="AO84" s="20" t="str">
        <f t="shared" si="33"/>
        <v>Normal</v>
      </c>
      <c r="AP84" s="20">
        <f t="shared" si="34"/>
        <v>14</v>
      </c>
      <c r="AQ84" s="20" t="str">
        <f t="shared" si="35"/>
        <v>Normal</v>
      </c>
    </row>
    <row r="85" spans="1:43" x14ac:dyDescent="0.3">
      <c r="A85" s="19" t="str">
        <f>Responses!A85</f>
        <v>q5Dyl2d</v>
      </c>
      <c r="B85" s="19" t="str">
        <f>Responses!B85</f>
        <v>b52PYlL</v>
      </c>
      <c r="C85" s="19">
        <f>Responses!C85</f>
        <v>46136.101875</v>
      </c>
      <c r="D85" s="19" t="str">
        <f>Responses!D85</f>
        <v xml:space="preserve">Ulfia Sa'adatun Ni'mah </v>
      </c>
      <c r="E85" s="19" t="str">
        <f>Responses!E85</f>
        <v>XI-3</v>
      </c>
      <c r="F85" s="19">
        <f>Responses!F85</f>
        <v>17</v>
      </c>
      <c r="G85" s="8">
        <f>IF(Responses!G85="","",IF(Responses!G85="Benar",2,IF(Responses!G85="Agak Benar",1,0)))</f>
        <v>0</v>
      </c>
      <c r="H85" s="8">
        <f>IF(Responses!H85="","",IF(Responses!H85="Benar",2,IF(Responses!H85="Agak Benar",1,0)))</f>
        <v>0</v>
      </c>
      <c r="I85" s="8">
        <f>IF(Responses!I85="","",IF(Responses!I85="Benar",2,IF(Responses!I85="Agak Benar",1,0)))</f>
        <v>0</v>
      </c>
      <c r="J85" s="8">
        <f>IF(Responses!J85="","",IF(Responses!J85="Benar",2,IF(Responses!J85="Agak Benar",1,0)))</f>
        <v>1</v>
      </c>
      <c r="K85" s="8">
        <f>IF(Responses!K85="","",IF(Responses!K85="Benar",2,IF(Responses!K85="Agak Benar",1,0)))</f>
        <v>0</v>
      </c>
      <c r="L85" s="8">
        <f>IF(Responses!L85="","",IF(Responses!L85="Benar",2,IF(Responses!L85="Agak Benar",1,0)))</f>
        <v>2</v>
      </c>
      <c r="M85" s="8">
        <f>IF(Responses!M85="","",IF(Responses!M85="Tidak Benar",2,IF(Responses!M85="Agak Benar",1,0)))</f>
        <v>1</v>
      </c>
      <c r="N85" s="8">
        <f>IF(Responses!N85="","",IF(Responses!N85="Benar",2,IF(Responses!N85="Agak Benar",1,0)))</f>
        <v>0</v>
      </c>
      <c r="O85" s="8">
        <f>IF(Responses!O85="","",IF(Responses!O85="Benar",2,IF(Responses!O85="Agak Benar",1,0)))</f>
        <v>1</v>
      </c>
      <c r="P85" s="8">
        <f>IF(Responses!P85="","",IF(Responses!P85="Benar",2,IF(Responses!P85="Agak Benar",1,0)))</f>
        <v>0</v>
      </c>
      <c r="Q85" s="8">
        <f>IF(Responses!Q85="","",IF(Responses!Q85="Tidak Benar",2,IF(Responses!Q85="Agak Benar",1,0)))</f>
        <v>1</v>
      </c>
      <c r="R85" s="8">
        <f>IF(Responses!R85="","",IF(Responses!R85="Benar",2,IF(Responses!R85="Agak Benar",1,0)))</f>
        <v>0</v>
      </c>
      <c r="S85" s="8">
        <f>IF(Responses!S85="","",IF(Responses!S85="Benar",2,IF(Responses!S85="Agak Benar",1,0)))</f>
        <v>2</v>
      </c>
      <c r="T85" s="8">
        <f>IF(Responses!T85="","",IF(Responses!T85="Tidak Benar",2,IF(Responses!T85="Agak Benar",1,0)))</f>
        <v>2</v>
      </c>
      <c r="U85" s="8">
        <f>IF(Responses!U85="","",IF(Responses!U85="Benar",2,IF(Responses!U85="Agak Benar",1,0)))</f>
        <v>2</v>
      </c>
      <c r="V85" s="8">
        <f>IF(Responses!V85="","",IF(Responses!V85="Benar",2,IF(Responses!V85="Agak Benar",1,0)))</f>
        <v>0</v>
      </c>
      <c r="W85" s="8">
        <f>IF(Responses!W85="","",IF(Responses!W85="Benar",2,IF(Responses!W85="Agak Benar",1,0)))</f>
        <v>0</v>
      </c>
      <c r="X85" s="8">
        <f>IF(Responses!X85="","",IF(Responses!X85="Benar",2,IF(Responses!X85="Agak Benar",1,0)))</f>
        <v>0</v>
      </c>
      <c r="Y85" s="8">
        <f>IF(Responses!Y85="","",IF(Responses!Y85="Benar",2,IF(Responses!Y85="Agak Benar",1,0)))</f>
        <v>0</v>
      </c>
      <c r="Z85" s="8">
        <f>IF(Responses!Z85="","",IF(Responses!Z85="Benar",2,IF(Responses!Z85="Agak Benar",1,0)))</f>
        <v>0</v>
      </c>
      <c r="AA85" s="8">
        <f>IF(Responses!AA85="","",IF(Responses!AA85="Tidak Benar",2,IF(Responses!AA85="Agak Benar",1,0)))</f>
        <v>1</v>
      </c>
      <c r="AB85" s="8">
        <f>IF(Responses!AB85="","",IF(Responses!AB85="Benar",2,IF(Responses!AB85="Agak Benar",1,0)))</f>
        <v>0</v>
      </c>
      <c r="AC85" s="8">
        <f>IF(Responses!AC85="","",IF(Responses!AC85="Benar",2,IF(Responses!AC85="Agak Benar",1,0)))</f>
        <v>2</v>
      </c>
      <c r="AD85" s="8">
        <f>IF(Responses!AD85="","",IF(Responses!AD85="Benar",2,IF(Responses!AD85="Agak Benar",1,0)))</f>
        <v>2</v>
      </c>
      <c r="AE85" s="8">
        <f>IF(Responses!AE85="","",IF(Responses!AE85="Tidak Benar",2,IF(Responses!AE85="Agak Benar",1,0)))</f>
        <v>0</v>
      </c>
      <c r="AF85" s="20">
        <f t="shared" si="24"/>
        <v>4</v>
      </c>
      <c r="AG85" s="20">
        <f t="shared" si="25"/>
        <v>1</v>
      </c>
      <c r="AH85" s="20">
        <f t="shared" si="26"/>
        <v>3</v>
      </c>
      <c r="AI85" s="20">
        <f t="shared" si="27"/>
        <v>7</v>
      </c>
      <c r="AJ85" s="20">
        <f t="shared" si="28"/>
        <v>2</v>
      </c>
      <c r="AK85" s="20" t="str">
        <f t="shared" si="29"/>
        <v>Normal</v>
      </c>
      <c r="AL85" s="20" t="str">
        <f t="shared" si="30"/>
        <v>Normal</v>
      </c>
      <c r="AM85" s="20" t="str">
        <f t="shared" si="31"/>
        <v>Normal</v>
      </c>
      <c r="AN85" s="20" t="str">
        <f t="shared" si="32"/>
        <v>Abnormal</v>
      </c>
      <c r="AO85" s="20" t="str">
        <f t="shared" si="33"/>
        <v>Abnormal</v>
      </c>
      <c r="AP85" s="20">
        <f t="shared" si="34"/>
        <v>15</v>
      </c>
      <c r="AQ85" s="20" t="str">
        <f t="shared" si="35"/>
        <v>Normal</v>
      </c>
    </row>
    <row r="86" spans="1:43" x14ac:dyDescent="0.3">
      <c r="A86" s="19" t="str">
        <f>Responses!A86</f>
        <v>X5JjpgO</v>
      </c>
      <c r="B86" s="19" t="str">
        <f>Responses!B86</f>
        <v>lb0QMxN</v>
      </c>
      <c r="C86" s="19">
        <f>Responses!C86</f>
        <v>46136.102222222216</v>
      </c>
      <c r="D86" s="19" t="str">
        <f>Responses!D86</f>
        <v>Elice Benita M.</v>
      </c>
      <c r="E86" s="19" t="str">
        <f>Responses!E86</f>
        <v>XI-3</v>
      </c>
      <c r="F86" s="19">
        <f>Responses!F86</f>
        <v>17</v>
      </c>
      <c r="G86" s="8">
        <f>IF(Responses!G86="","",IF(Responses!G86="Benar",2,IF(Responses!G86="Agak Benar",1,0)))</f>
        <v>2</v>
      </c>
      <c r="H86" s="8">
        <f>IF(Responses!H86="","",IF(Responses!H86="Benar",2,IF(Responses!H86="Agak Benar",1,0)))</f>
        <v>1</v>
      </c>
      <c r="I86" s="8">
        <f>IF(Responses!I86="","",IF(Responses!I86="Benar",2,IF(Responses!I86="Agak Benar",1,0)))</f>
        <v>1</v>
      </c>
      <c r="J86" s="8">
        <f>IF(Responses!J86="","",IF(Responses!J86="Benar",2,IF(Responses!J86="Agak Benar",1,0)))</f>
        <v>2</v>
      </c>
      <c r="K86" s="8">
        <f>IF(Responses!K86="","",IF(Responses!K86="Benar",2,IF(Responses!K86="Agak Benar",1,0)))</f>
        <v>1</v>
      </c>
      <c r="L86" s="8">
        <f>IF(Responses!L86="","",IF(Responses!L86="Benar",2,IF(Responses!L86="Agak Benar",1,0)))</f>
        <v>0</v>
      </c>
      <c r="M86" s="8">
        <f>IF(Responses!M86="","",IF(Responses!M86="Tidak Benar",2,IF(Responses!M86="Agak Benar",1,0)))</f>
        <v>1</v>
      </c>
      <c r="N86" s="8">
        <f>IF(Responses!N86="","",IF(Responses!N86="Benar",2,IF(Responses!N86="Agak Benar",1,0)))</f>
        <v>2</v>
      </c>
      <c r="O86" s="8">
        <f>IF(Responses!O86="","",IF(Responses!O86="Benar",2,IF(Responses!O86="Agak Benar",1,0)))</f>
        <v>1</v>
      </c>
      <c r="P86" s="8">
        <f>IF(Responses!P86="","",IF(Responses!P86="Benar",2,IF(Responses!P86="Agak Benar",1,0)))</f>
        <v>0</v>
      </c>
      <c r="Q86" s="8">
        <f>IF(Responses!Q86="","",IF(Responses!Q86="Tidak Benar",2,IF(Responses!Q86="Agak Benar",1,0)))</f>
        <v>0</v>
      </c>
      <c r="R86" s="8">
        <f>IF(Responses!R86="","",IF(Responses!R86="Benar",2,IF(Responses!R86="Agak Benar",1,0)))</f>
        <v>0</v>
      </c>
      <c r="S86" s="8">
        <f>IF(Responses!S86="","",IF(Responses!S86="Benar",2,IF(Responses!S86="Agak Benar",1,0)))</f>
        <v>0</v>
      </c>
      <c r="T86" s="8">
        <f>IF(Responses!T86="","",IF(Responses!T86="Tidak Benar",2,IF(Responses!T86="Agak Benar",1,0)))</f>
        <v>2</v>
      </c>
      <c r="U86" s="8">
        <f>IF(Responses!U86="","",IF(Responses!U86="Benar",2,IF(Responses!U86="Agak Benar",1,0)))</f>
        <v>0</v>
      </c>
      <c r="V86" s="8">
        <f>IF(Responses!V86="","",IF(Responses!V86="Benar",2,IF(Responses!V86="Agak Benar",1,0)))</f>
        <v>1</v>
      </c>
      <c r="W86" s="8">
        <f>IF(Responses!W86="","",IF(Responses!W86="Benar",2,IF(Responses!W86="Agak Benar",1,0)))</f>
        <v>2</v>
      </c>
      <c r="X86" s="8">
        <f>IF(Responses!X86="","",IF(Responses!X86="Benar",2,IF(Responses!X86="Agak Benar",1,0)))</f>
        <v>0</v>
      </c>
      <c r="Y86" s="8">
        <f>IF(Responses!Y86="","",IF(Responses!Y86="Benar",2,IF(Responses!Y86="Agak Benar",1,0)))</f>
        <v>0</v>
      </c>
      <c r="Z86" s="8">
        <f>IF(Responses!Z86="","",IF(Responses!Z86="Benar",2,IF(Responses!Z86="Agak Benar",1,0)))</f>
        <v>1</v>
      </c>
      <c r="AA86" s="8">
        <f>IF(Responses!AA86="","",IF(Responses!AA86="Tidak Benar",2,IF(Responses!AA86="Agak Benar",1,0)))</f>
        <v>1</v>
      </c>
      <c r="AB86" s="8">
        <f>IF(Responses!AB86="","",IF(Responses!AB86="Benar",2,IF(Responses!AB86="Agak Benar",1,0)))</f>
        <v>0</v>
      </c>
      <c r="AC86" s="8">
        <f>IF(Responses!AC86="","",IF(Responses!AC86="Benar",2,IF(Responses!AC86="Agak Benar",1,0)))</f>
        <v>0</v>
      </c>
      <c r="AD86" s="8">
        <f>IF(Responses!AD86="","",IF(Responses!AD86="Benar",2,IF(Responses!AD86="Agak Benar",1,0)))</f>
        <v>1</v>
      </c>
      <c r="AE86" s="8">
        <f>IF(Responses!AE86="","",IF(Responses!AE86="Tidak Benar",2,IF(Responses!AE86="Agak Benar",1,0)))</f>
        <v>1</v>
      </c>
      <c r="AF86" s="20">
        <f t="shared" si="24"/>
        <v>5</v>
      </c>
      <c r="AG86" s="20">
        <f t="shared" si="25"/>
        <v>2</v>
      </c>
      <c r="AH86" s="20">
        <f t="shared" si="26"/>
        <v>3</v>
      </c>
      <c r="AI86" s="20">
        <f t="shared" si="27"/>
        <v>2</v>
      </c>
      <c r="AJ86" s="20">
        <f t="shared" si="28"/>
        <v>8</v>
      </c>
      <c r="AK86" s="20" t="str">
        <f t="shared" si="29"/>
        <v>Normal</v>
      </c>
      <c r="AL86" s="20" t="str">
        <f t="shared" si="30"/>
        <v>Normal</v>
      </c>
      <c r="AM86" s="20" t="str">
        <f t="shared" si="31"/>
        <v>Normal</v>
      </c>
      <c r="AN86" s="20" t="str">
        <f t="shared" si="32"/>
        <v>Normal</v>
      </c>
      <c r="AO86" s="20" t="str">
        <f t="shared" si="33"/>
        <v>Normal</v>
      </c>
      <c r="AP86" s="20">
        <f t="shared" si="34"/>
        <v>12</v>
      </c>
      <c r="AQ86" s="20" t="str">
        <f t="shared" si="35"/>
        <v>Normal</v>
      </c>
    </row>
    <row r="87" spans="1:43" x14ac:dyDescent="0.3">
      <c r="A87" s="19" t="str">
        <f>Responses!A87</f>
        <v>7XLQQXP</v>
      </c>
      <c r="B87" s="19" t="str">
        <f>Responses!B87</f>
        <v>RGZpk4Q</v>
      </c>
      <c r="C87" s="19">
        <f>Responses!C87</f>
        <v>46136.102314814823</v>
      </c>
      <c r="D87" s="19" t="str">
        <f>Responses!D87</f>
        <v>Muhammad Revano Boutista</v>
      </c>
      <c r="E87" s="19" t="str">
        <f>Responses!E87</f>
        <v>XI-3</v>
      </c>
      <c r="F87" s="19">
        <f>Responses!F87</f>
        <v>16</v>
      </c>
      <c r="G87" s="8">
        <f>IF(Responses!G87="","",IF(Responses!G87="Benar",2,IF(Responses!G87="Agak Benar",1,0)))</f>
        <v>2</v>
      </c>
      <c r="H87" s="8">
        <f>IF(Responses!H87="","",IF(Responses!H87="Benar",2,IF(Responses!H87="Agak Benar",1,0)))</f>
        <v>2</v>
      </c>
      <c r="I87" s="8">
        <f>IF(Responses!I87="","",IF(Responses!I87="Benar",2,IF(Responses!I87="Agak Benar",1,0)))</f>
        <v>0</v>
      </c>
      <c r="J87" s="8">
        <f>IF(Responses!J87="","",IF(Responses!J87="Benar",2,IF(Responses!J87="Agak Benar",1,0)))</f>
        <v>1</v>
      </c>
      <c r="K87" s="8">
        <f>IF(Responses!K87="","",IF(Responses!K87="Benar",2,IF(Responses!K87="Agak Benar",1,0)))</f>
        <v>0</v>
      </c>
      <c r="L87" s="8">
        <f>IF(Responses!L87="","",IF(Responses!L87="Benar",2,IF(Responses!L87="Agak Benar",1,0)))</f>
        <v>0</v>
      </c>
      <c r="M87" s="8">
        <f>IF(Responses!M87="","",IF(Responses!M87="Tidak Benar",2,IF(Responses!M87="Agak Benar",1,0)))</f>
        <v>1</v>
      </c>
      <c r="N87" s="8">
        <f>IF(Responses!N87="","",IF(Responses!N87="Benar",2,IF(Responses!N87="Agak Benar",1,0)))</f>
        <v>0</v>
      </c>
      <c r="O87" s="8">
        <f>IF(Responses!O87="","",IF(Responses!O87="Benar",2,IF(Responses!O87="Agak Benar",1,0)))</f>
        <v>2</v>
      </c>
      <c r="P87" s="8">
        <f>IF(Responses!P87="","",IF(Responses!P87="Benar",2,IF(Responses!P87="Agak Benar",1,0)))</f>
        <v>0</v>
      </c>
      <c r="Q87" s="8">
        <f>IF(Responses!Q87="","",IF(Responses!Q87="Tidak Benar",2,IF(Responses!Q87="Agak Benar",1,0)))</f>
        <v>0</v>
      </c>
      <c r="R87" s="8">
        <f>IF(Responses!R87="","",IF(Responses!R87="Benar",2,IF(Responses!R87="Agak Benar",1,0)))</f>
        <v>0</v>
      </c>
      <c r="S87" s="8">
        <f>IF(Responses!S87="","",IF(Responses!S87="Benar",2,IF(Responses!S87="Agak Benar",1,0)))</f>
        <v>0</v>
      </c>
      <c r="T87" s="8">
        <f>IF(Responses!T87="","",IF(Responses!T87="Tidak Benar",2,IF(Responses!T87="Agak Benar",1,0)))</f>
        <v>0</v>
      </c>
      <c r="U87" s="8">
        <f>IF(Responses!U87="","",IF(Responses!U87="Benar",2,IF(Responses!U87="Agak Benar",1,0)))</f>
        <v>0</v>
      </c>
      <c r="V87" s="8">
        <f>IF(Responses!V87="","",IF(Responses!V87="Benar",2,IF(Responses!V87="Agak Benar",1,0)))</f>
        <v>0</v>
      </c>
      <c r="W87" s="8">
        <f>IF(Responses!W87="","",IF(Responses!W87="Benar",2,IF(Responses!W87="Agak Benar",1,0)))</f>
        <v>2</v>
      </c>
      <c r="X87" s="8">
        <f>IF(Responses!X87="","",IF(Responses!X87="Benar",2,IF(Responses!X87="Agak Benar",1,0)))</f>
        <v>0</v>
      </c>
      <c r="Y87" s="8">
        <f>IF(Responses!Y87="","",IF(Responses!Y87="Benar",2,IF(Responses!Y87="Agak Benar",1,0)))</f>
        <v>0</v>
      </c>
      <c r="Z87" s="8">
        <f>IF(Responses!Z87="","",IF(Responses!Z87="Benar",2,IF(Responses!Z87="Agak Benar",1,0)))</f>
        <v>2</v>
      </c>
      <c r="AA87" s="8">
        <f>IF(Responses!AA87="","",IF(Responses!AA87="Tidak Benar",2,IF(Responses!AA87="Agak Benar",1,0)))</f>
        <v>0</v>
      </c>
      <c r="AB87" s="8">
        <f>IF(Responses!AB87="","",IF(Responses!AB87="Benar",2,IF(Responses!AB87="Agak Benar",1,0)))</f>
        <v>0</v>
      </c>
      <c r="AC87" s="8">
        <f>IF(Responses!AC87="","",IF(Responses!AC87="Benar",2,IF(Responses!AC87="Agak Benar",1,0)))</f>
        <v>1</v>
      </c>
      <c r="AD87" s="8">
        <f>IF(Responses!AD87="","",IF(Responses!AD87="Benar",2,IF(Responses!AD87="Agak Benar",1,0)))</f>
        <v>0</v>
      </c>
      <c r="AE87" s="8">
        <f>IF(Responses!AE87="","",IF(Responses!AE87="Tidak Benar",2,IF(Responses!AE87="Agak Benar",1,0)))</f>
        <v>0</v>
      </c>
      <c r="AF87" s="20">
        <f t="shared" si="24"/>
        <v>0</v>
      </c>
      <c r="AG87" s="20">
        <f t="shared" si="25"/>
        <v>1</v>
      </c>
      <c r="AH87" s="20">
        <f t="shared" si="26"/>
        <v>2</v>
      </c>
      <c r="AI87" s="20">
        <f t="shared" si="27"/>
        <v>1</v>
      </c>
      <c r="AJ87" s="20">
        <f t="shared" si="28"/>
        <v>9</v>
      </c>
      <c r="AK87" s="20" t="str">
        <f t="shared" si="29"/>
        <v>Normal</v>
      </c>
      <c r="AL87" s="20" t="str">
        <f t="shared" si="30"/>
        <v>Normal</v>
      </c>
      <c r="AM87" s="20" t="str">
        <f t="shared" si="31"/>
        <v>Normal</v>
      </c>
      <c r="AN87" s="20" t="str">
        <f t="shared" si="32"/>
        <v>Normal</v>
      </c>
      <c r="AO87" s="20" t="str">
        <f t="shared" si="33"/>
        <v>Normal</v>
      </c>
      <c r="AP87" s="20">
        <f t="shared" si="34"/>
        <v>4</v>
      </c>
      <c r="AQ87" s="20" t="str">
        <f t="shared" si="35"/>
        <v>Normal</v>
      </c>
    </row>
    <row r="88" spans="1:43" x14ac:dyDescent="0.3">
      <c r="A88" s="19" t="str">
        <f>Responses!A88</f>
        <v>q5Dy6v5</v>
      </c>
      <c r="B88" s="19" t="str">
        <f>Responses!B88</f>
        <v>kd0qzQ1</v>
      </c>
      <c r="C88" s="19">
        <f>Responses!C88</f>
        <v>46136.10261574074</v>
      </c>
      <c r="D88" s="19" t="str">
        <f>Responses!D88</f>
        <v xml:space="preserve">Fachri Maulana Syihab </v>
      </c>
      <c r="E88" s="19" t="str">
        <f>Responses!E88</f>
        <v>XI-3</v>
      </c>
      <c r="F88" s="19">
        <f>Responses!F88</f>
        <v>17</v>
      </c>
      <c r="G88" s="8">
        <f>IF(Responses!G88="","",IF(Responses!G88="Benar",2,IF(Responses!G88="Agak Benar",1,0)))</f>
        <v>2</v>
      </c>
      <c r="H88" s="8">
        <f>IF(Responses!H88="","",IF(Responses!H88="Benar",2,IF(Responses!H88="Agak Benar",1,0)))</f>
        <v>1</v>
      </c>
      <c r="I88" s="8">
        <f>IF(Responses!I88="","",IF(Responses!I88="Benar",2,IF(Responses!I88="Agak Benar",1,0)))</f>
        <v>0</v>
      </c>
      <c r="J88" s="8">
        <f>IF(Responses!J88="","",IF(Responses!J88="Benar",2,IF(Responses!J88="Agak Benar",1,0)))</f>
        <v>2</v>
      </c>
      <c r="K88" s="8">
        <f>IF(Responses!K88="","",IF(Responses!K88="Benar",2,IF(Responses!K88="Agak Benar",1,0)))</f>
        <v>0</v>
      </c>
      <c r="L88" s="8">
        <f>IF(Responses!L88="","",IF(Responses!L88="Benar",2,IF(Responses!L88="Agak Benar",1,0)))</f>
        <v>1</v>
      </c>
      <c r="M88" s="8">
        <f>IF(Responses!M88="","",IF(Responses!M88="Tidak Benar",2,IF(Responses!M88="Agak Benar",1,0)))</f>
        <v>1</v>
      </c>
      <c r="N88" s="8">
        <f>IF(Responses!N88="","",IF(Responses!N88="Benar",2,IF(Responses!N88="Agak Benar",1,0)))</f>
        <v>0</v>
      </c>
      <c r="O88" s="8">
        <f>IF(Responses!O88="","",IF(Responses!O88="Benar",2,IF(Responses!O88="Agak Benar",1,0)))</f>
        <v>2</v>
      </c>
      <c r="P88" s="8">
        <f>IF(Responses!P88="","",IF(Responses!P88="Benar",2,IF(Responses!P88="Agak Benar",1,0)))</f>
        <v>1</v>
      </c>
      <c r="Q88" s="8">
        <f>IF(Responses!Q88="","",IF(Responses!Q88="Tidak Benar",2,IF(Responses!Q88="Agak Benar",1,0)))</f>
        <v>0</v>
      </c>
      <c r="R88" s="8">
        <f>IF(Responses!R88="","",IF(Responses!R88="Benar",2,IF(Responses!R88="Agak Benar",1,0)))</f>
        <v>0</v>
      </c>
      <c r="S88" s="8">
        <f>IF(Responses!S88="","",IF(Responses!S88="Benar",2,IF(Responses!S88="Agak Benar",1,0)))</f>
        <v>0</v>
      </c>
      <c r="T88" s="8">
        <f>IF(Responses!T88="","",IF(Responses!T88="Tidak Benar",2,IF(Responses!T88="Agak Benar",1,0)))</f>
        <v>1</v>
      </c>
      <c r="U88" s="8">
        <f>IF(Responses!U88="","",IF(Responses!U88="Benar",2,IF(Responses!U88="Agak Benar",1,0)))</f>
        <v>0</v>
      </c>
      <c r="V88" s="8">
        <f>IF(Responses!V88="","",IF(Responses!V88="Benar",2,IF(Responses!V88="Agak Benar",1,0)))</f>
        <v>2</v>
      </c>
      <c r="W88" s="8">
        <f>IF(Responses!W88="","",IF(Responses!W88="Benar",2,IF(Responses!W88="Agak Benar",1,0)))</f>
        <v>2</v>
      </c>
      <c r="X88" s="8">
        <f>IF(Responses!X88="","",IF(Responses!X88="Benar",2,IF(Responses!X88="Agak Benar",1,0)))</f>
        <v>0</v>
      </c>
      <c r="Y88" s="8">
        <f>IF(Responses!Y88="","",IF(Responses!Y88="Benar",2,IF(Responses!Y88="Agak Benar",1,0)))</f>
        <v>0</v>
      </c>
      <c r="Z88" s="8">
        <f>IF(Responses!Z88="","",IF(Responses!Z88="Benar",2,IF(Responses!Z88="Agak Benar",1,0)))</f>
        <v>1</v>
      </c>
      <c r="AA88" s="8">
        <f>IF(Responses!AA88="","",IF(Responses!AA88="Tidak Benar",2,IF(Responses!AA88="Agak Benar",1,0)))</f>
        <v>0</v>
      </c>
      <c r="AB88" s="8">
        <f>IF(Responses!AB88="","",IF(Responses!AB88="Benar",2,IF(Responses!AB88="Agak Benar",1,0)))</f>
        <v>0</v>
      </c>
      <c r="AC88" s="8">
        <f>IF(Responses!AC88="","",IF(Responses!AC88="Benar",2,IF(Responses!AC88="Agak Benar",1,0)))</f>
        <v>0</v>
      </c>
      <c r="AD88" s="8">
        <f>IF(Responses!AD88="","",IF(Responses!AD88="Benar",2,IF(Responses!AD88="Agak Benar",1,0)))</f>
        <v>1</v>
      </c>
      <c r="AE88" s="8">
        <f>IF(Responses!AE88="","",IF(Responses!AE88="Tidak Benar",2,IF(Responses!AE88="Agak Benar",1,0)))</f>
        <v>0</v>
      </c>
      <c r="AF88" s="20">
        <f t="shared" si="24"/>
        <v>3</v>
      </c>
      <c r="AG88" s="20">
        <f t="shared" si="25"/>
        <v>1</v>
      </c>
      <c r="AH88" s="20">
        <f t="shared" si="26"/>
        <v>2</v>
      </c>
      <c r="AI88" s="20">
        <f t="shared" si="27"/>
        <v>2</v>
      </c>
      <c r="AJ88" s="20">
        <f t="shared" si="28"/>
        <v>9</v>
      </c>
      <c r="AK88" s="20" t="str">
        <f t="shared" si="29"/>
        <v>Normal</v>
      </c>
      <c r="AL88" s="20" t="str">
        <f t="shared" si="30"/>
        <v>Normal</v>
      </c>
      <c r="AM88" s="20" t="str">
        <f t="shared" si="31"/>
        <v>Normal</v>
      </c>
      <c r="AN88" s="20" t="str">
        <f t="shared" si="32"/>
        <v>Normal</v>
      </c>
      <c r="AO88" s="20" t="str">
        <f t="shared" si="33"/>
        <v>Normal</v>
      </c>
      <c r="AP88" s="20">
        <f t="shared" si="34"/>
        <v>8</v>
      </c>
      <c r="AQ88" s="20" t="str">
        <f t="shared" si="35"/>
        <v>Normal</v>
      </c>
    </row>
    <row r="89" spans="1:43" x14ac:dyDescent="0.3">
      <c r="A89" s="19" t="str">
        <f>Responses!A89</f>
        <v>zEyVlpE</v>
      </c>
      <c r="B89" s="19" t="str">
        <f>Responses!B89</f>
        <v>MerBGNk</v>
      </c>
      <c r="C89" s="19">
        <f>Responses!C89</f>
        <v>46136.102708333332</v>
      </c>
      <c r="D89" s="19" t="str">
        <f>Responses!D89</f>
        <v>mayra larasati</v>
      </c>
      <c r="E89" s="19" t="str">
        <f>Responses!E89</f>
        <v>XI-3</v>
      </c>
      <c r="F89" s="19">
        <f>Responses!F89</f>
        <v>16</v>
      </c>
      <c r="G89" s="8">
        <f>IF(Responses!G89="","",IF(Responses!G89="Benar",2,IF(Responses!G89="Agak Benar",1,0)))</f>
        <v>2</v>
      </c>
      <c r="H89" s="8">
        <f>IF(Responses!H89="","",IF(Responses!H89="Benar",2,IF(Responses!H89="Agak Benar",1,0)))</f>
        <v>0</v>
      </c>
      <c r="I89" s="8">
        <f>IF(Responses!I89="","",IF(Responses!I89="Benar",2,IF(Responses!I89="Agak Benar",1,0)))</f>
        <v>1</v>
      </c>
      <c r="J89" s="8">
        <f>IF(Responses!J89="","",IF(Responses!J89="Benar",2,IF(Responses!J89="Agak Benar",1,0)))</f>
        <v>1</v>
      </c>
      <c r="K89" s="8">
        <f>IF(Responses!K89="","",IF(Responses!K89="Benar",2,IF(Responses!K89="Agak Benar",1,0)))</f>
        <v>1</v>
      </c>
      <c r="L89" s="8">
        <f>IF(Responses!L89="","",IF(Responses!L89="Benar",2,IF(Responses!L89="Agak Benar",1,0)))</f>
        <v>0</v>
      </c>
      <c r="M89" s="8">
        <f>IF(Responses!M89="","",IF(Responses!M89="Tidak Benar",2,IF(Responses!M89="Agak Benar",1,0)))</f>
        <v>1</v>
      </c>
      <c r="N89" s="8">
        <f>IF(Responses!N89="","",IF(Responses!N89="Benar",2,IF(Responses!N89="Agak Benar",1,0)))</f>
        <v>1</v>
      </c>
      <c r="O89" s="8">
        <f>IF(Responses!O89="","",IF(Responses!O89="Benar",2,IF(Responses!O89="Agak Benar",1,0)))</f>
        <v>2</v>
      </c>
      <c r="P89" s="8">
        <f>IF(Responses!P89="","",IF(Responses!P89="Benar",2,IF(Responses!P89="Agak Benar",1,0)))</f>
        <v>0</v>
      </c>
      <c r="Q89" s="8">
        <f>IF(Responses!Q89="","",IF(Responses!Q89="Tidak Benar",2,IF(Responses!Q89="Agak Benar",1,0)))</f>
        <v>0</v>
      </c>
      <c r="R89" s="8">
        <f>IF(Responses!R89="","",IF(Responses!R89="Benar",2,IF(Responses!R89="Agak Benar",1,0)))</f>
        <v>0</v>
      </c>
      <c r="S89" s="8">
        <f>IF(Responses!S89="","",IF(Responses!S89="Benar",2,IF(Responses!S89="Agak Benar",1,0)))</f>
        <v>1</v>
      </c>
      <c r="T89" s="8">
        <f>IF(Responses!T89="","",IF(Responses!T89="Tidak Benar",2,IF(Responses!T89="Agak Benar",1,0)))</f>
        <v>1</v>
      </c>
      <c r="U89" s="8">
        <f>IF(Responses!U89="","",IF(Responses!U89="Benar",2,IF(Responses!U89="Agak Benar",1,0)))</f>
        <v>0</v>
      </c>
      <c r="V89" s="8">
        <f>IF(Responses!V89="","",IF(Responses!V89="Benar",2,IF(Responses!V89="Agak Benar",1,0)))</f>
        <v>1</v>
      </c>
      <c r="W89" s="8">
        <f>IF(Responses!W89="","",IF(Responses!W89="Benar",2,IF(Responses!W89="Agak Benar",1,0)))</f>
        <v>2</v>
      </c>
      <c r="X89" s="8">
        <f>IF(Responses!X89="","",IF(Responses!X89="Benar",2,IF(Responses!X89="Agak Benar",1,0)))</f>
        <v>0</v>
      </c>
      <c r="Y89" s="8">
        <f>IF(Responses!Y89="","",IF(Responses!Y89="Benar",2,IF(Responses!Y89="Agak Benar",1,0)))</f>
        <v>1</v>
      </c>
      <c r="Z89" s="8">
        <f>IF(Responses!Z89="","",IF(Responses!Z89="Benar",2,IF(Responses!Z89="Agak Benar",1,0)))</f>
        <v>2</v>
      </c>
      <c r="AA89" s="8">
        <f>IF(Responses!AA89="","",IF(Responses!AA89="Tidak Benar",2,IF(Responses!AA89="Agak Benar",1,0)))</f>
        <v>0</v>
      </c>
      <c r="AB89" s="8">
        <f>IF(Responses!AB89="","",IF(Responses!AB89="Benar",2,IF(Responses!AB89="Agak Benar",1,0)))</f>
        <v>0</v>
      </c>
      <c r="AC89" s="8">
        <f>IF(Responses!AC89="","",IF(Responses!AC89="Benar",2,IF(Responses!AC89="Agak Benar",1,0)))</f>
        <v>1</v>
      </c>
      <c r="AD89" s="8">
        <f>IF(Responses!AD89="","",IF(Responses!AD89="Benar",2,IF(Responses!AD89="Agak Benar",1,0)))</f>
        <v>2</v>
      </c>
      <c r="AE89" s="8">
        <f>IF(Responses!AE89="","",IF(Responses!AE89="Tidak Benar",2,IF(Responses!AE89="Agak Benar",1,0)))</f>
        <v>0</v>
      </c>
      <c r="AF89" s="20">
        <f t="shared" si="24"/>
        <v>6</v>
      </c>
      <c r="AG89" s="20">
        <f t="shared" si="25"/>
        <v>2</v>
      </c>
      <c r="AH89" s="20">
        <f t="shared" si="26"/>
        <v>0</v>
      </c>
      <c r="AI89" s="20">
        <f t="shared" si="27"/>
        <v>3</v>
      </c>
      <c r="AJ89" s="20">
        <f t="shared" si="28"/>
        <v>9</v>
      </c>
      <c r="AK89" s="20" t="str">
        <f t="shared" si="29"/>
        <v>Borderline</v>
      </c>
      <c r="AL89" s="20" t="str">
        <f t="shared" si="30"/>
        <v>Normal</v>
      </c>
      <c r="AM89" s="20" t="str">
        <f t="shared" si="31"/>
        <v>Normal</v>
      </c>
      <c r="AN89" s="20" t="str">
        <f t="shared" si="32"/>
        <v>Normal</v>
      </c>
      <c r="AO89" s="20" t="str">
        <f t="shared" si="33"/>
        <v>Normal</v>
      </c>
      <c r="AP89" s="20">
        <f t="shared" si="34"/>
        <v>11</v>
      </c>
      <c r="AQ89" s="20" t="str">
        <f t="shared" si="35"/>
        <v>Normal</v>
      </c>
    </row>
    <row r="90" spans="1:43" x14ac:dyDescent="0.3">
      <c r="A90" s="19" t="str">
        <f>Responses!A90</f>
        <v>BEdNdDN</v>
      </c>
      <c r="B90" s="19" t="str">
        <f>Responses!B90</f>
        <v>D4XQOVq</v>
      </c>
      <c r="C90" s="19">
        <f>Responses!C90</f>
        <v>46136.104467592602</v>
      </c>
      <c r="D90" s="19" t="str">
        <f>Responses!D90</f>
        <v xml:space="preserve">Jessica Sonang Patricia Simangunsong </v>
      </c>
      <c r="E90" s="19" t="str">
        <f>Responses!E90</f>
        <v>XI-3</v>
      </c>
      <c r="F90" s="19">
        <f>Responses!F90</f>
        <v>17</v>
      </c>
      <c r="G90" s="8">
        <f>IF(Responses!G90="","",IF(Responses!G90="Benar",2,IF(Responses!G90="Agak Benar",1,0)))</f>
        <v>2</v>
      </c>
      <c r="H90" s="8">
        <f>IF(Responses!H90="","",IF(Responses!H90="Benar",2,IF(Responses!H90="Agak Benar",1,0)))</f>
        <v>0</v>
      </c>
      <c r="I90" s="8">
        <f>IF(Responses!I90="","",IF(Responses!I90="Benar",2,IF(Responses!I90="Agak Benar",1,0)))</f>
        <v>0</v>
      </c>
      <c r="J90" s="8">
        <f>IF(Responses!J90="","",IF(Responses!J90="Benar",2,IF(Responses!J90="Agak Benar",1,0)))</f>
        <v>1</v>
      </c>
      <c r="K90" s="8">
        <f>IF(Responses!K90="","",IF(Responses!K90="Benar",2,IF(Responses!K90="Agak Benar",1,0)))</f>
        <v>1</v>
      </c>
      <c r="L90" s="8">
        <f>IF(Responses!L90="","",IF(Responses!L90="Benar",2,IF(Responses!L90="Agak Benar",1,0)))</f>
        <v>1</v>
      </c>
      <c r="M90" s="8">
        <f>IF(Responses!M90="","",IF(Responses!M90="Tidak Benar",2,IF(Responses!M90="Agak Benar",1,0)))</f>
        <v>1</v>
      </c>
      <c r="N90" s="8">
        <f>IF(Responses!N90="","",IF(Responses!N90="Benar",2,IF(Responses!N90="Agak Benar",1,0)))</f>
        <v>1</v>
      </c>
      <c r="O90" s="8">
        <f>IF(Responses!O90="","",IF(Responses!O90="Benar",2,IF(Responses!O90="Agak Benar",1,0)))</f>
        <v>2</v>
      </c>
      <c r="P90" s="8">
        <f>IF(Responses!P90="","",IF(Responses!P90="Benar",2,IF(Responses!P90="Agak Benar",1,0)))</f>
        <v>0</v>
      </c>
      <c r="Q90" s="8">
        <f>IF(Responses!Q90="","",IF(Responses!Q90="Tidak Benar",2,IF(Responses!Q90="Agak Benar",1,0)))</f>
        <v>0</v>
      </c>
      <c r="R90" s="8">
        <f>IF(Responses!R90="","",IF(Responses!R90="Benar",2,IF(Responses!R90="Agak Benar",1,0)))</f>
        <v>0</v>
      </c>
      <c r="S90" s="8">
        <f>IF(Responses!S90="","",IF(Responses!S90="Benar",2,IF(Responses!S90="Agak Benar",1,0)))</f>
        <v>1</v>
      </c>
      <c r="T90" s="8">
        <f>IF(Responses!T90="","",IF(Responses!T90="Tidak Benar",2,IF(Responses!T90="Agak Benar",1,0)))</f>
        <v>0</v>
      </c>
      <c r="U90" s="8">
        <f>IF(Responses!U90="","",IF(Responses!U90="Benar",2,IF(Responses!U90="Agak Benar",1,0)))</f>
        <v>0</v>
      </c>
      <c r="V90" s="8">
        <f>IF(Responses!V90="","",IF(Responses!V90="Benar",2,IF(Responses!V90="Agak Benar",1,0)))</f>
        <v>1</v>
      </c>
      <c r="W90" s="8">
        <f>IF(Responses!W90="","",IF(Responses!W90="Benar",2,IF(Responses!W90="Agak Benar",1,0)))</f>
        <v>2</v>
      </c>
      <c r="X90" s="8">
        <f>IF(Responses!X90="","",IF(Responses!X90="Benar",2,IF(Responses!X90="Agak Benar",1,0)))</f>
        <v>0</v>
      </c>
      <c r="Y90" s="8">
        <f>IF(Responses!Y90="","",IF(Responses!Y90="Benar",2,IF(Responses!Y90="Agak Benar",1,0)))</f>
        <v>1</v>
      </c>
      <c r="Z90" s="8">
        <f>IF(Responses!Z90="","",IF(Responses!Z90="Benar",2,IF(Responses!Z90="Agak Benar",1,0)))</f>
        <v>2</v>
      </c>
      <c r="AA90" s="8">
        <f>IF(Responses!AA90="","",IF(Responses!AA90="Tidak Benar",2,IF(Responses!AA90="Agak Benar",1,0)))</f>
        <v>0</v>
      </c>
      <c r="AB90" s="8">
        <f>IF(Responses!AB90="","",IF(Responses!AB90="Benar",2,IF(Responses!AB90="Agak Benar",1,0)))</f>
        <v>0</v>
      </c>
      <c r="AC90" s="8">
        <f>IF(Responses!AC90="","",IF(Responses!AC90="Benar",2,IF(Responses!AC90="Agak Benar",1,0)))</f>
        <v>0</v>
      </c>
      <c r="AD90" s="8">
        <f>IF(Responses!AD90="","",IF(Responses!AD90="Benar",2,IF(Responses!AD90="Agak Benar",1,0)))</f>
        <v>0</v>
      </c>
      <c r="AE90" s="8">
        <f>IF(Responses!AE90="","",IF(Responses!AE90="Tidak Benar",2,IF(Responses!AE90="Agak Benar",1,0)))</f>
        <v>1</v>
      </c>
      <c r="AF90" s="20">
        <f t="shared" si="24"/>
        <v>3</v>
      </c>
      <c r="AG90" s="20">
        <f t="shared" si="25"/>
        <v>2</v>
      </c>
      <c r="AH90" s="20">
        <f t="shared" si="26"/>
        <v>1</v>
      </c>
      <c r="AI90" s="20">
        <f t="shared" si="27"/>
        <v>2</v>
      </c>
      <c r="AJ90" s="20">
        <f t="shared" si="28"/>
        <v>9</v>
      </c>
      <c r="AK90" s="20" t="str">
        <f t="shared" si="29"/>
        <v>Normal</v>
      </c>
      <c r="AL90" s="20" t="str">
        <f t="shared" si="30"/>
        <v>Normal</v>
      </c>
      <c r="AM90" s="20" t="str">
        <f t="shared" si="31"/>
        <v>Normal</v>
      </c>
      <c r="AN90" s="20" t="str">
        <f t="shared" si="32"/>
        <v>Normal</v>
      </c>
      <c r="AO90" s="20" t="str">
        <f t="shared" si="33"/>
        <v>Normal</v>
      </c>
      <c r="AP90" s="20">
        <f t="shared" si="34"/>
        <v>8</v>
      </c>
      <c r="AQ90" s="20" t="str">
        <f t="shared" si="35"/>
        <v>Normal</v>
      </c>
    </row>
    <row r="91" spans="1:43" x14ac:dyDescent="0.3">
      <c r="A91" s="19" t="str">
        <f>Responses!A91</f>
        <v>Yj08455</v>
      </c>
      <c r="B91" s="19" t="str">
        <f>Responses!B91</f>
        <v>xX0K8Ar</v>
      </c>
      <c r="C91" s="19">
        <f>Responses!C91</f>
        <v>46136.104814814818</v>
      </c>
      <c r="D91" s="19" t="str">
        <f>Responses!D91</f>
        <v>kinanthi A. P. Y</v>
      </c>
      <c r="E91" s="19" t="str">
        <f>Responses!E91</f>
        <v>XI-3</v>
      </c>
      <c r="F91" s="19">
        <f>Responses!F91</f>
        <v>16</v>
      </c>
      <c r="G91" s="8">
        <f>IF(Responses!G91="","",IF(Responses!G91="Benar",2,IF(Responses!G91="Agak Benar",1,0)))</f>
        <v>2</v>
      </c>
      <c r="H91" s="8">
        <f>IF(Responses!H91="","",IF(Responses!H91="Benar",2,IF(Responses!H91="Agak Benar",1,0)))</f>
        <v>1</v>
      </c>
      <c r="I91" s="8">
        <f>IF(Responses!I91="","",IF(Responses!I91="Benar",2,IF(Responses!I91="Agak Benar",1,0)))</f>
        <v>0</v>
      </c>
      <c r="J91" s="8">
        <f>IF(Responses!J91="","",IF(Responses!J91="Benar",2,IF(Responses!J91="Agak Benar",1,0)))</f>
        <v>2</v>
      </c>
      <c r="K91" s="8">
        <f>IF(Responses!K91="","",IF(Responses!K91="Benar",2,IF(Responses!K91="Agak Benar",1,0)))</f>
        <v>1</v>
      </c>
      <c r="L91" s="8">
        <f>IF(Responses!L91="","",IF(Responses!L91="Benar",2,IF(Responses!L91="Agak Benar",1,0)))</f>
        <v>0</v>
      </c>
      <c r="M91" s="8">
        <f>IF(Responses!M91="","",IF(Responses!M91="Tidak Benar",2,IF(Responses!M91="Agak Benar",1,0)))</f>
        <v>1</v>
      </c>
      <c r="N91" s="8">
        <f>IF(Responses!N91="","",IF(Responses!N91="Benar",2,IF(Responses!N91="Agak Benar",1,0)))</f>
        <v>1</v>
      </c>
      <c r="O91" s="8">
        <f>IF(Responses!O91="","",IF(Responses!O91="Benar",2,IF(Responses!O91="Agak Benar",1,0)))</f>
        <v>2</v>
      </c>
      <c r="P91" s="8">
        <f>IF(Responses!P91="","",IF(Responses!P91="Benar",2,IF(Responses!P91="Agak Benar",1,0)))</f>
        <v>2</v>
      </c>
      <c r="Q91" s="8">
        <f>IF(Responses!Q91="","",IF(Responses!Q91="Tidak Benar",2,IF(Responses!Q91="Agak Benar",1,0)))</f>
        <v>0</v>
      </c>
      <c r="R91" s="8">
        <f>IF(Responses!R91="","",IF(Responses!R91="Benar",2,IF(Responses!R91="Agak Benar",1,0)))</f>
        <v>0</v>
      </c>
      <c r="S91" s="8">
        <f>IF(Responses!S91="","",IF(Responses!S91="Benar",2,IF(Responses!S91="Agak Benar",1,0)))</f>
        <v>0</v>
      </c>
      <c r="T91" s="8">
        <f>IF(Responses!T91="","",IF(Responses!T91="Tidak Benar",2,IF(Responses!T91="Agak Benar",1,0)))</f>
        <v>1</v>
      </c>
      <c r="U91" s="8">
        <f>IF(Responses!U91="","",IF(Responses!U91="Benar",2,IF(Responses!U91="Agak Benar",1,0)))</f>
        <v>1</v>
      </c>
      <c r="V91" s="8">
        <f>IF(Responses!V91="","",IF(Responses!V91="Benar",2,IF(Responses!V91="Agak Benar",1,0)))</f>
        <v>0</v>
      </c>
      <c r="W91" s="8">
        <f>IF(Responses!W91="","",IF(Responses!W91="Benar",2,IF(Responses!W91="Agak Benar",1,0)))</f>
        <v>2</v>
      </c>
      <c r="X91" s="8">
        <f>IF(Responses!X91="","",IF(Responses!X91="Benar",2,IF(Responses!X91="Agak Benar",1,0)))</f>
        <v>0</v>
      </c>
      <c r="Y91" s="8">
        <f>IF(Responses!Y91="","",IF(Responses!Y91="Benar",2,IF(Responses!Y91="Agak Benar",1,0)))</f>
        <v>0</v>
      </c>
      <c r="Z91" s="8">
        <f>IF(Responses!Z91="","",IF(Responses!Z91="Benar",2,IF(Responses!Z91="Agak Benar",1,0)))</f>
        <v>1</v>
      </c>
      <c r="AA91" s="8">
        <f>IF(Responses!AA91="","",IF(Responses!AA91="Tidak Benar",2,IF(Responses!AA91="Agak Benar",1,0)))</f>
        <v>1</v>
      </c>
      <c r="AB91" s="8">
        <f>IF(Responses!AB91="","",IF(Responses!AB91="Benar",2,IF(Responses!AB91="Agak Benar",1,0)))</f>
        <v>0</v>
      </c>
      <c r="AC91" s="8">
        <f>IF(Responses!AC91="","",IF(Responses!AC91="Benar",2,IF(Responses!AC91="Agak Benar",1,0)))</f>
        <v>2</v>
      </c>
      <c r="AD91" s="8">
        <f>IF(Responses!AD91="","",IF(Responses!AD91="Benar",2,IF(Responses!AD91="Agak Benar",1,0)))</f>
        <v>0</v>
      </c>
      <c r="AE91" s="8">
        <f>IF(Responses!AE91="","",IF(Responses!AE91="Tidak Benar",2,IF(Responses!AE91="Agak Benar",1,0)))</f>
        <v>0</v>
      </c>
      <c r="AF91" s="20">
        <f t="shared" si="24"/>
        <v>1</v>
      </c>
      <c r="AG91" s="20">
        <f t="shared" si="25"/>
        <v>2</v>
      </c>
      <c r="AH91" s="20">
        <f t="shared" si="26"/>
        <v>5</v>
      </c>
      <c r="AI91" s="20">
        <f t="shared" si="27"/>
        <v>3</v>
      </c>
      <c r="AJ91" s="20">
        <f t="shared" si="28"/>
        <v>9</v>
      </c>
      <c r="AK91" s="20" t="str">
        <f t="shared" si="29"/>
        <v>Normal</v>
      </c>
      <c r="AL91" s="20" t="str">
        <f t="shared" si="30"/>
        <v>Normal</v>
      </c>
      <c r="AM91" s="20" t="str">
        <f t="shared" si="31"/>
        <v>Normal</v>
      </c>
      <c r="AN91" s="20" t="str">
        <f t="shared" si="32"/>
        <v>Normal</v>
      </c>
      <c r="AO91" s="20" t="str">
        <f t="shared" si="33"/>
        <v>Normal</v>
      </c>
      <c r="AP91" s="20">
        <f t="shared" si="34"/>
        <v>11</v>
      </c>
      <c r="AQ91" s="20" t="str">
        <f t="shared" si="35"/>
        <v>Normal</v>
      </c>
    </row>
    <row r="92" spans="1:43" x14ac:dyDescent="0.3">
      <c r="A92" s="19" t="str">
        <f>Responses!A92</f>
        <v>WJExzNe</v>
      </c>
      <c r="B92" s="19" t="str">
        <f>Responses!B92</f>
        <v>KYPdrXK</v>
      </c>
      <c r="C92" s="19">
        <f>Responses!C92</f>
        <v>46136.114363425928</v>
      </c>
      <c r="D92" s="19" t="str">
        <f>Responses!D92</f>
        <v>Novia Rahma</v>
      </c>
      <c r="E92" s="19" t="str">
        <f>Responses!E92</f>
        <v>XI-2</v>
      </c>
      <c r="F92" s="19">
        <f>Responses!F92</f>
        <v>17</v>
      </c>
      <c r="G92" s="8">
        <f>IF(Responses!G92="","",IF(Responses!G92="Benar",2,IF(Responses!G92="Agak Benar",1,0)))</f>
        <v>2</v>
      </c>
      <c r="H92" s="8">
        <f>IF(Responses!H92="","",IF(Responses!H92="Benar",2,IF(Responses!H92="Agak Benar",1,0)))</f>
        <v>1</v>
      </c>
      <c r="I92" s="8">
        <f>IF(Responses!I92="","",IF(Responses!I92="Benar",2,IF(Responses!I92="Agak Benar",1,0)))</f>
        <v>1</v>
      </c>
      <c r="J92" s="8">
        <f>IF(Responses!J92="","",IF(Responses!J92="Benar",2,IF(Responses!J92="Agak Benar",1,0)))</f>
        <v>2</v>
      </c>
      <c r="K92" s="8">
        <f>IF(Responses!K92="","",IF(Responses!K92="Benar",2,IF(Responses!K92="Agak Benar",1,0)))</f>
        <v>0</v>
      </c>
      <c r="L92" s="8">
        <f>IF(Responses!L92="","",IF(Responses!L92="Benar",2,IF(Responses!L92="Agak Benar",1,0)))</f>
        <v>1</v>
      </c>
      <c r="M92" s="8">
        <f>IF(Responses!M92="","",IF(Responses!M92="Tidak Benar",2,IF(Responses!M92="Agak Benar",1,0)))</f>
        <v>1</v>
      </c>
      <c r="N92" s="8">
        <f>IF(Responses!N92="","",IF(Responses!N92="Benar",2,IF(Responses!N92="Agak Benar",1,0)))</f>
        <v>2</v>
      </c>
      <c r="O92" s="8">
        <f>IF(Responses!O92="","",IF(Responses!O92="Benar",2,IF(Responses!O92="Agak Benar",1,0)))</f>
        <v>2</v>
      </c>
      <c r="P92" s="8">
        <f>IF(Responses!P92="","",IF(Responses!P92="Benar",2,IF(Responses!P92="Agak Benar",1,0)))</f>
        <v>1</v>
      </c>
      <c r="Q92" s="8">
        <f>IF(Responses!Q92="","",IF(Responses!Q92="Tidak Benar",2,IF(Responses!Q92="Agak Benar",1,0)))</f>
        <v>0</v>
      </c>
      <c r="R92" s="8">
        <f>IF(Responses!R92="","",IF(Responses!R92="Benar",2,IF(Responses!R92="Agak Benar",1,0)))</f>
        <v>0</v>
      </c>
      <c r="S92" s="8">
        <f>IF(Responses!S92="","",IF(Responses!S92="Benar",2,IF(Responses!S92="Agak Benar",1,0)))</f>
        <v>1</v>
      </c>
      <c r="T92" s="8">
        <f>IF(Responses!T92="","",IF(Responses!T92="Tidak Benar",2,IF(Responses!T92="Agak Benar",1,0)))</f>
        <v>1</v>
      </c>
      <c r="U92" s="8">
        <f>IF(Responses!U92="","",IF(Responses!U92="Benar",2,IF(Responses!U92="Agak Benar",1,0)))</f>
        <v>1</v>
      </c>
      <c r="V92" s="8">
        <f>IF(Responses!V92="","",IF(Responses!V92="Benar",2,IF(Responses!V92="Agak Benar",1,0)))</f>
        <v>2</v>
      </c>
      <c r="W92" s="8">
        <f>IF(Responses!W92="","",IF(Responses!W92="Benar",2,IF(Responses!W92="Agak Benar",1,0)))</f>
        <v>2</v>
      </c>
      <c r="X92" s="8">
        <f>IF(Responses!X92="","",IF(Responses!X92="Benar",2,IF(Responses!X92="Agak Benar",1,0)))</f>
        <v>0</v>
      </c>
      <c r="Y92" s="8">
        <f>IF(Responses!Y92="","",IF(Responses!Y92="Benar",2,IF(Responses!Y92="Agak Benar",1,0)))</f>
        <v>0</v>
      </c>
      <c r="Z92" s="8">
        <f>IF(Responses!Z92="","",IF(Responses!Z92="Benar",2,IF(Responses!Z92="Agak Benar",1,0)))</f>
        <v>1</v>
      </c>
      <c r="AA92" s="8">
        <f>IF(Responses!AA92="","",IF(Responses!AA92="Tidak Benar",2,IF(Responses!AA92="Agak Benar",1,0)))</f>
        <v>0</v>
      </c>
      <c r="AB92" s="8">
        <f>IF(Responses!AB92="","",IF(Responses!AB92="Benar",2,IF(Responses!AB92="Agak Benar",1,0)))</f>
        <v>0</v>
      </c>
      <c r="AC92" s="8">
        <f>IF(Responses!AC92="","",IF(Responses!AC92="Benar",2,IF(Responses!AC92="Agak Benar",1,0)))</f>
        <v>1</v>
      </c>
      <c r="AD92" s="8">
        <f>IF(Responses!AD92="","",IF(Responses!AD92="Benar",2,IF(Responses!AD92="Agak Benar",1,0)))</f>
        <v>1</v>
      </c>
      <c r="AE92" s="8">
        <f>IF(Responses!AE92="","",IF(Responses!AE92="Tidak Benar",2,IF(Responses!AE92="Agak Benar",1,0)))</f>
        <v>0</v>
      </c>
      <c r="AF92" s="20">
        <f t="shared" si="24"/>
        <v>7</v>
      </c>
      <c r="AG92" s="20">
        <f t="shared" si="25"/>
        <v>1</v>
      </c>
      <c r="AH92" s="20">
        <f t="shared" si="26"/>
        <v>3</v>
      </c>
      <c r="AI92" s="20">
        <f t="shared" si="27"/>
        <v>3</v>
      </c>
      <c r="AJ92" s="20">
        <f t="shared" si="28"/>
        <v>9</v>
      </c>
      <c r="AK92" s="20" t="str">
        <f t="shared" si="29"/>
        <v>Abnormal</v>
      </c>
      <c r="AL92" s="20" t="str">
        <f t="shared" si="30"/>
        <v>Normal</v>
      </c>
      <c r="AM92" s="20" t="str">
        <f t="shared" si="31"/>
        <v>Normal</v>
      </c>
      <c r="AN92" s="20" t="str">
        <f t="shared" si="32"/>
        <v>Normal</v>
      </c>
      <c r="AO92" s="20" t="str">
        <f t="shared" si="33"/>
        <v>Normal</v>
      </c>
      <c r="AP92" s="20">
        <f t="shared" si="34"/>
        <v>14</v>
      </c>
      <c r="AQ92" s="20" t="str">
        <f t="shared" si="35"/>
        <v>Normal</v>
      </c>
    </row>
    <row r="93" spans="1:43" x14ac:dyDescent="0.3">
      <c r="A93" s="19" t="str">
        <f>Responses!A93</f>
        <v>Eqdyypr</v>
      </c>
      <c r="B93" s="19" t="str">
        <f>Responses!B93</f>
        <v>zx0aL4q</v>
      </c>
      <c r="C93" s="19">
        <f>Responses!C93</f>
        <v>46136.121481481481</v>
      </c>
      <c r="D93" s="19" t="str">
        <f>Responses!D93</f>
        <v>Muhammad Faizan</v>
      </c>
      <c r="E93" s="19" t="str">
        <f>Responses!E93</f>
        <v>XI-1</v>
      </c>
      <c r="F93" s="19">
        <f>Responses!F93</f>
        <v>17</v>
      </c>
      <c r="G93" s="8">
        <f>IF(Responses!G93="","",IF(Responses!G93="Benar",2,IF(Responses!G93="Agak Benar",1,0)))</f>
        <v>2</v>
      </c>
      <c r="H93" s="8">
        <f>IF(Responses!H93="","",IF(Responses!H93="Benar",2,IF(Responses!H93="Agak Benar",1,0)))</f>
        <v>2</v>
      </c>
      <c r="I93" s="8">
        <f>IF(Responses!I93="","",IF(Responses!I93="Benar",2,IF(Responses!I93="Agak Benar",1,0)))</f>
        <v>1</v>
      </c>
      <c r="J93" s="8">
        <f>IF(Responses!J93="","",IF(Responses!J93="Benar",2,IF(Responses!J93="Agak Benar",1,0)))</f>
        <v>1</v>
      </c>
      <c r="K93" s="8">
        <f>IF(Responses!K93="","",IF(Responses!K93="Benar",2,IF(Responses!K93="Agak Benar",1,0)))</f>
        <v>1</v>
      </c>
      <c r="L93" s="8">
        <f>IF(Responses!L93="","",IF(Responses!L93="Benar",2,IF(Responses!L93="Agak Benar",1,0)))</f>
        <v>0</v>
      </c>
      <c r="M93" s="8">
        <f>IF(Responses!M93="","",IF(Responses!M93="Tidak Benar",2,IF(Responses!M93="Agak Benar",1,0)))</f>
        <v>1</v>
      </c>
      <c r="N93" s="8">
        <f>IF(Responses!N93="","",IF(Responses!N93="Benar",2,IF(Responses!N93="Agak Benar",1,0)))</f>
        <v>2</v>
      </c>
      <c r="O93" s="8">
        <f>IF(Responses!O93="","",IF(Responses!O93="Benar",2,IF(Responses!O93="Agak Benar",1,0)))</f>
        <v>1</v>
      </c>
      <c r="P93" s="8">
        <f>IF(Responses!P93="","",IF(Responses!P93="Benar",2,IF(Responses!P93="Agak Benar",1,0)))</f>
        <v>1</v>
      </c>
      <c r="Q93" s="8">
        <f>IF(Responses!Q93="","",IF(Responses!Q93="Tidak Benar",2,IF(Responses!Q93="Agak Benar",1,0)))</f>
        <v>0</v>
      </c>
      <c r="R93" s="8">
        <f>IF(Responses!R93="","",IF(Responses!R93="Benar",2,IF(Responses!R93="Agak Benar",1,0)))</f>
        <v>0</v>
      </c>
      <c r="S93" s="8">
        <f>IF(Responses!S93="","",IF(Responses!S93="Benar",2,IF(Responses!S93="Agak Benar",1,0)))</f>
        <v>2</v>
      </c>
      <c r="T93" s="8">
        <f>IF(Responses!T93="","",IF(Responses!T93="Tidak Benar",2,IF(Responses!T93="Agak Benar",1,0)))</f>
        <v>1</v>
      </c>
      <c r="U93" s="8">
        <f>IF(Responses!U93="","",IF(Responses!U93="Benar",2,IF(Responses!U93="Agak Benar",1,0)))</f>
        <v>2</v>
      </c>
      <c r="V93" s="8">
        <f>IF(Responses!V93="","",IF(Responses!V93="Benar",2,IF(Responses!V93="Agak Benar",1,0)))</f>
        <v>1</v>
      </c>
      <c r="W93" s="8">
        <f>IF(Responses!W93="","",IF(Responses!W93="Benar",2,IF(Responses!W93="Agak Benar",1,0)))</f>
        <v>1</v>
      </c>
      <c r="X93" s="8">
        <f>IF(Responses!X93="","",IF(Responses!X93="Benar",2,IF(Responses!X93="Agak Benar",1,0)))</f>
        <v>0</v>
      </c>
      <c r="Y93" s="8">
        <f>IF(Responses!Y93="","",IF(Responses!Y93="Benar",2,IF(Responses!Y93="Agak Benar",1,0)))</f>
        <v>0</v>
      </c>
      <c r="Z93" s="8">
        <f>IF(Responses!Z93="","",IF(Responses!Z93="Benar",2,IF(Responses!Z93="Agak Benar",1,0)))</f>
        <v>1</v>
      </c>
      <c r="AA93" s="8">
        <f>IF(Responses!AA93="","",IF(Responses!AA93="Tidak Benar",2,IF(Responses!AA93="Agak Benar",1,0)))</f>
        <v>1</v>
      </c>
      <c r="AB93" s="8">
        <f>IF(Responses!AB93="","",IF(Responses!AB93="Benar",2,IF(Responses!AB93="Agak Benar",1,0)))</f>
        <v>0</v>
      </c>
      <c r="AC93" s="8">
        <f>IF(Responses!AC93="","",IF(Responses!AC93="Benar",2,IF(Responses!AC93="Agak Benar",1,0)))</f>
        <v>0</v>
      </c>
      <c r="AD93" s="8">
        <f>IF(Responses!AD93="","",IF(Responses!AD93="Benar",2,IF(Responses!AD93="Agak Benar",1,0)))</f>
        <v>2</v>
      </c>
      <c r="AE93" s="8">
        <f>IF(Responses!AE93="","",IF(Responses!AE93="Tidak Benar",2,IF(Responses!AE93="Agak Benar",1,0)))</f>
        <v>2</v>
      </c>
      <c r="AF93" s="20">
        <f t="shared" si="24"/>
        <v>8</v>
      </c>
      <c r="AG93" s="20">
        <f t="shared" si="25"/>
        <v>2</v>
      </c>
      <c r="AH93" s="20">
        <f t="shared" si="26"/>
        <v>8</v>
      </c>
      <c r="AI93" s="20">
        <f t="shared" si="27"/>
        <v>1</v>
      </c>
      <c r="AJ93" s="20">
        <f t="shared" si="28"/>
        <v>6</v>
      </c>
      <c r="AK93" s="20" t="str">
        <f t="shared" si="29"/>
        <v>Abnormal</v>
      </c>
      <c r="AL93" s="20" t="str">
        <f t="shared" si="30"/>
        <v>Normal</v>
      </c>
      <c r="AM93" s="20" t="str">
        <f t="shared" si="31"/>
        <v>Abnormal</v>
      </c>
      <c r="AN93" s="20" t="str">
        <f t="shared" si="32"/>
        <v>Normal</v>
      </c>
      <c r="AO93" s="20" t="str">
        <f t="shared" si="33"/>
        <v>Normal</v>
      </c>
      <c r="AP93" s="20">
        <f t="shared" si="34"/>
        <v>19</v>
      </c>
      <c r="AQ93" s="20" t="str">
        <f t="shared" si="35"/>
        <v>Borderline</v>
      </c>
    </row>
    <row r="94" spans="1:43" x14ac:dyDescent="0.3">
      <c r="A94" s="19" t="str">
        <f>Responses!A94</f>
        <v>peyl7MB</v>
      </c>
      <c r="B94" s="19" t="str">
        <f>Responses!B94</f>
        <v>LZEQRQO</v>
      </c>
      <c r="C94" s="19">
        <f>Responses!C94</f>
        <v>46136.125451388893</v>
      </c>
      <c r="D94" s="19" t="str">
        <f>Responses!D94</f>
        <v>adhi nugroho</v>
      </c>
      <c r="E94" s="19" t="str">
        <f>Responses!E94</f>
        <v>XI-4</v>
      </c>
      <c r="F94" s="19">
        <f>Responses!F94</f>
        <v>17</v>
      </c>
      <c r="G94" s="8">
        <f>IF(Responses!G94="","",IF(Responses!G94="Benar",2,IF(Responses!G94="Agak Benar",1,0)))</f>
        <v>2</v>
      </c>
      <c r="H94" s="8">
        <f>IF(Responses!H94="","",IF(Responses!H94="Benar",2,IF(Responses!H94="Agak Benar",1,0)))</f>
        <v>0</v>
      </c>
      <c r="I94" s="8">
        <f>IF(Responses!I94="","",IF(Responses!I94="Benar",2,IF(Responses!I94="Agak Benar",1,0)))</f>
        <v>0</v>
      </c>
      <c r="J94" s="8">
        <f>IF(Responses!J94="","",IF(Responses!J94="Benar",2,IF(Responses!J94="Agak Benar",1,0)))</f>
        <v>2</v>
      </c>
      <c r="K94" s="8">
        <f>IF(Responses!K94="","",IF(Responses!K94="Benar",2,IF(Responses!K94="Agak Benar",1,0)))</f>
        <v>0</v>
      </c>
      <c r="L94" s="8">
        <f>IF(Responses!L94="","",IF(Responses!L94="Benar",2,IF(Responses!L94="Agak Benar",1,0)))</f>
        <v>0</v>
      </c>
      <c r="M94" s="8">
        <f>IF(Responses!M94="","",IF(Responses!M94="Tidak Benar",2,IF(Responses!M94="Agak Benar",1,0)))</f>
        <v>2</v>
      </c>
      <c r="N94" s="8">
        <f>IF(Responses!N94="","",IF(Responses!N94="Benar",2,IF(Responses!N94="Agak Benar",1,0)))</f>
        <v>0</v>
      </c>
      <c r="O94" s="8">
        <f>IF(Responses!O94="","",IF(Responses!O94="Benar",2,IF(Responses!O94="Agak Benar",1,0)))</f>
        <v>2</v>
      </c>
      <c r="P94" s="8">
        <f>IF(Responses!P94="","",IF(Responses!P94="Benar",2,IF(Responses!P94="Agak Benar",1,0)))</f>
        <v>0</v>
      </c>
      <c r="Q94" s="8">
        <f>IF(Responses!Q94="","",IF(Responses!Q94="Tidak Benar",2,IF(Responses!Q94="Agak Benar",1,0)))</f>
        <v>0</v>
      </c>
      <c r="R94" s="8">
        <f>IF(Responses!R94="","",IF(Responses!R94="Benar",2,IF(Responses!R94="Agak Benar",1,0)))</f>
        <v>0</v>
      </c>
      <c r="S94" s="8">
        <f>IF(Responses!S94="","",IF(Responses!S94="Benar",2,IF(Responses!S94="Agak Benar",1,0)))</f>
        <v>0</v>
      </c>
      <c r="T94" s="8">
        <f>IF(Responses!T94="","",IF(Responses!T94="Tidak Benar",2,IF(Responses!T94="Agak Benar",1,0)))</f>
        <v>0</v>
      </c>
      <c r="U94" s="8">
        <f>IF(Responses!U94="","",IF(Responses!U94="Benar",2,IF(Responses!U94="Agak Benar",1,0)))</f>
        <v>0</v>
      </c>
      <c r="V94" s="8">
        <f>IF(Responses!V94="","",IF(Responses!V94="Benar",2,IF(Responses!V94="Agak Benar",1,0)))</f>
        <v>0</v>
      </c>
      <c r="W94" s="8">
        <f>IF(Responses!W94="","",IF(Responses!W94="Benar",2,IF(Responses!W94="Agak Benar",1,0)))</f>
        <v>2</v>
      </c>
      <c r="X94" s="8">
        <f>IF(Responses!X94="","",IF(Responses!X94="Benar",2,IF(Responses!X94="Agak Benar",1,0)))</f>
        <v>0</v>
      </c>
      <c r="Y94" s="8">
        <f>IF(Responses!Y94="","",IF(Responses!Y94="Benar",2,IF(Responses!Y94="Agak Benar",1,0)))</f>
        <v>0</v>
      </c>
      <c r="Z94" s="8">
        <f>IF(Responses!Z94="","",IF(Responses!Z94="Benar",2,IF(Responses!Z94="Agak Benar",1,0)))</f>
        <v>2</v>
      </c>
      <c r="AA94" s="8">
        <f>IF(Responses!AA94="","",IF(Responses!AA94="Tidak Benar",2,IF(Responses!AA94="Agak Benar",1,0)))</f>
        <v>0</v>
      </c>
      <c r="AB94" s="8">
        <f>IF(Responses!AB94="","",IF(Responses!AB94="Benar",2,IF(Responses!AB94="Agak Benar",1,0)))</f>
        <v>0</v>
      </c>
      <c r="AC94" s="8">
        <f>IF(Responses!AC94="","",IF(Responses!AC94="Benar",2,IF(Responses!AC94="Agak Benar",1,0)))</f>
        <v>0</v>
      </c>
      <c r="AD94" s="8">
        <f>IF(Responses!AD94="","",IF(Responses!AD94="Benar",2,IF(Responses!AD94="Agak Benar",1,0)))</f>
        <v>0</v>
      </c>
      <c r="AE94" s="8">
        <f>IF(Responses!AE94="","",IF(Responses!AE94="Tidak Benar",2,IF(Responses!AE94="Agak Benar",1,0)))</f>
        <v>0</v>
      </c>
      <c r="AF94" s="20">
        <f t="shared" si="24"/>
        <v>0</v>
      </c>
      <c r="AG94" s="20">
        <f t="shared" si="25"/>
        <v>2</v>
      </c>
      <c r="AH94" s="20">
        <f t="shared" si="26"/>
        <v>0</v>
      </c>
      <c r="AI94" s="20">
        <f t="shared" si="27"/>
        <v>0</v>
      </c>
      <c r="AJ94" s="20">
        <f t="shared" si="28"/>
        <v>10</v>
      </c>
      <c r="AK94" s="20" t="str">
        <f t="shared" si="29"/>
        <v>Normal</v>
      </c>
      <c r="AL94" s="20" t="str">
        <f t="shared" si="30"/>
        <v>Normal</v>
      </c>
      <c r="AM94" s="20" t="str">
        <f t="shared" si="31"/>
        <v>Normal</v>
      </c>
      <c r="AN94" s="20" t="str">
        <f t="shared" si="32"/>
        <v>Normal</v>
      </c>
      <c r="AO94" s="20" t="str">
        <f t="shared" si="33"/>
        <v>Normal</v>
      </c>
      <c r="AP94" s="20">
        <f t="shared" si="34"/>
        <v>2</v>
      </c>
      <c r="AQ94" s="20" t="str">
        <f t="shared" si="35"/>
        <v>Normal</v>
      </c>
    </row>
    <row r="95" spans="1:43" x14ac:dyDescent="0.3">
      <c r="A95" s="19" t="str">
        <f>Responses!A95</f>
        <v>kbeVRYR</v>
      </c>
      <c r="B95" s="19" t="str">
        <f>Responses!B95</f>
        <v>81J002o</v>
      </c>
      <c r="C95" s="19">
        <f>Responses!C95</f>
        <v>46136.125578703701</v>
      </c>
      <c r="D95" s="19" t="str">
        <f>Responses!D95</f>
        <v>BA'IQ SAFARINA DAMAYANTI</v>
      </c>
      <c r="E95" s="19" t="str">
        <f>Responses!E95</f>
        <v>XI-4</v>
      </c>
      <c r="F95" s="19">
        <f>Responses!F95</f>
        <v>17</v>
      </c>
      <c r="G95" s="8">
        <f>IF(Responses!G95="","",IF(Responses!G95="Benar",2,IF(Responses!G95="Agak Benar",1,0)))</f>
        <v>2</v>
      </c>
      <c r="H95" s="8">
        <f>IF(Responses!H95="","",IF(Responses!H95="Benar",2,IF(Responses!H95="Agak Benar",1,0)))</f>
        <v>0</v>
      </c>
      <c r="I95" s="8">
        <f>IF(Responses!I95="","",IF(Responses!I95="Benar",2,IF(Responses!I95="Agak Benar",1,0)))</f>
        <v>0</v>
      </c>
      <c r="J95" s="8">
        <f>IF(Responses!J95="","",IF(Responses!J95="Benar",2,IF(Responses!J95="Agak Benar",1,0)))</f>
        <v>1</v>
      </c>
      <c r="K95" s="8">
        <f>IF(Responses!K95="","",IF(Responses!K95="Benar",2,IF(Responses!K95="Agak Benar",1,0)))</f>
        <v>0</v>
      </c>
      <c r="L95" s="8">
        <f>IF(Responses!L95="","",IF(Responses!L95="Benar",2,IF(Responses!L95="Agak Benar",1,0)))</f>
        <v>0</v>
      </c>
      <c r="M95" s="8">
        <f>IF(Responses!M95="","",IF(Responses!M95="Tidak Benar",2,IF(Responses!M95="Agak Benar",1,0)))</f>
        <v>2</v>
      </c>
      <c r="N95" s="8">
        <f>IF(Responses!N95="","",IF(Responses!N95="Benar",2,IF(Responses!N95="Agak Benar",1,0)))</f>
        <v>0</v>
      </c>
      <c r="O95" s="8">
        <f>IF(Responses!O95="","",IF(Responses!O95="Benar",2,IF(Responses!O95="Agak Benar",1,0)))</f>
        <v>2</v>
      </c>
      <c r="P95" s="8">
        <f>IF(Responses!P95="","",IF(Responses!P95="Benar",2,IF(Responses!P95="Agak Benar",1,0)))</f>
        <v>1</v>
      </c>
      <c r="Q95" s="8">
        <f>IF(Responses!Q95="","",IF(Responses!Q95="Tidak Benar",2,IF(Responses!Q95="Agak Benar",1,0)))</f>
        <v>0</v>
      </c>
      <c r="R95" s="8">
        <f>IF(Responses!R95="","",IF(Responses!R95="Benar",2,IF(Responses!R95="Agak Benar",1,0)))</f>
        <v>1</v>
      </c>
      <c r="S95" s="8">
        <f>IF(Responses!S95="","",IF(Responses!S95="Benar",2,IF(Responses!S95="Agak Benar",1,0)))</f>
        <v>2</v>
      </c>
      <c r="T95" s="8">
        <f>IF(Responses!T95="","",IF(Responses!T95="Tidak Benar",2,IF(Responses!T95="Agak Benar",1,0)))</f>
        <v>1</v>
      </c>
      <c r="U95" s="8">
        <f>IF(Responses!U95="","",IF(Responses!U95="Benar",2,IF(Responses!U95="Agak Benar",1,0)))</f>
        <v>0</v>
      </c>
      <c r="V95" s="8">
        <f>IF(Responses!V95="","",IF(Responses!V95="Benar",2,IF(Responses!V95="Agak Benar",1,0)))</f>
        <v>2</v>
      </c>
      <c r="W95" s="8">
        <f>IF(Responses!W95="","",IF(Responses!W95="Benar",2,IF(Responses!W95="Agak Benar",1,0)))</f>
        <v>2</v>
      </c>
      <c r="X95" s="8">
        <f>IF(Responses!X95="","",IF(Responses!X95="Benar",2,IF(Responses!X95="Agak Benar",1,0)))</f>
        <v>1</v>
      </c>
      <c r="Y95" s="8">
        <f>IF(Responses!Y95="","",IF(Responses!Y95="Benar",2,IF(Responses!Y95="Agak Benar",1,0)))</f>
        <v>0</v>
      </c>
      <c r="Z95" s="8">
        <f>IF(Responses!Z95="","",IF(Responses!Z95="Benar",2,IF(Responses!Z95="Agak Benar",1,0)))</f>
        <v>2</v>
      </c>
      <c r="AA95" s="8">
        <f>IF(Responses!AA95="","",IF(Responses!AA95="Tidak Benar",2,IF(Responses!AA95="Agak Benar",1,0)))</f>
        <v>0</v>
      </c>
      <c r="AB95" s="8">
        <f>IF(Responses!AB95="","",IF(Responses!AB95="Benar",2,IF(Responses!AB95="Agak Benar",1,0)))</f>
        <v>0</v>
      </c>
      <c r="AC95" s="8">
        <f>IF(Responses!AC95="","",IF(Responses!AC95="Benar",2,IF(Responses!AC95="Agak Benar",1,0)))</f>
        <v>1</v>
      </c>
      <c r="AD95" s="8">
        <f>IF(Responses!AD95="","",IF(Responses!AD95="Benar",2,IF(Responses!AD95="Agak Benar",1,0)))</f>
        <v>0</v>
      </c>
      <c r="AE95" s="8">
        <f>IF(Responses!AE95="","",IF(Responses!AE95="Tidak Benar",2,IF(Responses!AE95="Agak Benar",1,0)))</f>
        <v>0</v>
      </c>
      <c r="AF95" s="20">
        <f t="shared" si="24"/>
        <v>4</v>
      </c>
      <c r="AG95" s="20">
        <f t="shared" si="25"/>
        <v>4</v>
      </c>
      <c r="AH95" s="20">
        <f t="shared" si="26"/>
        <v>1</v>
      </c>
      <c r="AI95" s="20">
        <f t="shared" si="27"/>
        <v>2</v>
      </c>
      <c r="AJ95" s="20">
        <f t="shared" si="28"/>
        <v>9</v>
      </c>
      <c r="AK95" s="20" t="str">
        <f t="shared" si="29"/>
        <v>Normal</v>
      </c>
      <c r="AL95" s="20" t="str">
        <f t="shared" si="30"/>
        <v>Borderline</v>
      </c>
      <c r="AM95" s="20" t="str">
        <f t="shared" si="31"/>
        <v>Normal</v>
      </c>
      <c r="AN95" s="20" t="str">
        <f t="shared" si="32"/>
        <v>Normal</v>
      </c>
      <c r="AO95" s="20" t="str">
        <f t="shared" si="33"/>
        <v>Normal</v>
      </c>
      <c r="AP95" s="20">
        <f t="shared" si="34"/>
        <v>11</v>
      </c>
      <c r="AQ95" s="20" t="str">
        <f t="shared" si="35"/>
        <v>Normal</v>
      </c>
    </row>
    <row r="96" spans="1:43" x14ac:dyDescent="0.3">
      <c r="A96" s="19" t="str">
        <f>Responses!A96</f>
        <v>laePlXN</v>
      </c>
      <c r="B96" s="19" t="str">
        <f>Responses!B96</f>
        <v>lb0PobW</v>
      </c>
      <c r="C96" s="19">
        <f>Responses!C96</f>
        <v>46136.125671296293</v>
      </c>
      <c r="D96" s="19" t="str">
        <f>Responses!D96</f>
        <v>Atikah Nuha</v>
      </c>
      <c r="E96" s="19" t="str">
        <f>Responses!E96</f>
        <v>XI-4</v>
      </c>
      <c r="F96" s="19">
        <f>Responses!F96</f>
        <v>17</v>
      </c>
      <c r="G96" s="8">
        <f>IF(Responses!G96="","",IF(Responses!G96="Benar",2,IF(Responses!G96="Agak Benar",1,0)))</f>
        <v>2</v>
      </c>
      <c r="H96" s="8">
        <f>IF(Responses!H96="","",IF(Responses!H96="Benar",2,IF(Responses!H96="Agak Benar",1,0)))</f>
        <v>0</v>
      </c>
      <c r="I96" s="8">
        <f>IF(Responses!I96="","",IF(Responses!I96="Benar",2,IF(Responses!I96="Agak Benar",1,0)))</f>
        <v>0</v>
      </c>
      <c r="J96" s="8">
        <f>IF(Responses!J96="","",IF(Responses!J96="Benar",2,IF(Responses!J96="Agak Benar",1,0)))</f>
        <v>1</v>
      </c>
      <c r="K96" s="8">
        <f>IF(Responses!K96="","",IF(Responses!K96="Benar",2,IF(Responses!K96="Agak Benar",1,0)))</f>
        <v>0</v>
      </c>
      <c r="L96" s="8">
        <f>IF(Responses!L96="","",IF(Responses!L96="Benar",2,IF(Responses!L96="Agak Benar",1,0)))</f>
        <v>0</v>
      </c>
      <c r="M96" s="8">
        <f>IF(Responses!M96="","",IF(Responses!M96="Tidak Benar",2,IF(Responses!M96="Agak Benar",1,0)))</f>
        <v>0</v>
      </c>
      <c r="N96" s="8">
        <f>IF(Responses!N96="","",IF(Responses!N96="Benar",2,IF(Responses!N96="Agak Benar",1,0)))</f>
        <v>2</v>
      </c>
      <c r="O96" s="8">
        <f>IF(Responses!O96="","",IF(Responses!O96="Benar",2,IF(Responses!O96="Agak Benar",1,0)))</f>
        <v>2</v>
      </c>
      <c r="P96" s="8">
        <f>IF(Responses!P96="","",IF(Responses!P96="Benar",2,IF(Responses!P96="Agak Benar",1,0)))</f>
        <v>1</v>
      </c>
      <c r="Q96" s="8">
        <f>IF(Responses!Q96="","",IF(Responses!Q96="Tidak Benar",2,IF(Responses!Q96="Agak Benar",1,0)))</f>
        <v>0</v>
      </c>
      <c r="R96" s="8">
        <f>IF(Responses!R96="","",IF(Responses!R96="Benar",2,IF(Responses!R96="Agak Benar",1,0)))</f>
        <v>0</v>
      </c>
      <c r="S96" s="8">
        <f>IF(Responses!S96="","",IF(Responses!S96="Benar",2,IF(Responses!S96="Agak Benar",1,0)))</f>
        <v>0</v>
      </c>
      <c r="T96" s="8">
        <f>IF(Responses!T96="","",IF(Responses!T96="Tidak Benar",2,IF(Responses!T96="Agak Benar",1,0)))</f>
        <v>0</v>
      </c>
      <c r="U96" s="8">
        <f>IF(Responses!U96="","",IF(Responses!U96="Benar",2,IF(Responses!U96="Agak Benar",1,0)))</f>
        <v>1</v>
      </c>
      <c r="V96" s="8">
        <f>IF(Responses!V96="","",IF(Responses!V96="Benar",2,IF(Responses!V96="Agak Benar",1,0)))</f>
        <v>2</v>
      </c>
      <c r="W96" s="8">
        <f>IF(Responses!W96="","",IF(Responses!W96="Benar",2,IF(Responses!W96="Agak Benar",1,0)))</f>
        <v>2</v>
      </c>
      <c r="X96" s="8">
        <f>IF(Responses!X96="","",IF(Responses!X96="Benar",2,IF(Responses!X96="Agak Benar",1,0)))</f>
        <v>0</v>
      </c>
      <c r="Y96" s="8">
        <f>IF(Responses!Y96="","",IF(Responses!Y96="Benar",2,IF(Responses!Y96="Agak Benar",1,0)))</f>
        <v>0</v>
      </c>
      <c r="Z96" s="8">
        <f>IF(Responses!Z96="","",IF(Responses!Z96="Benar",2,IF(Responses!Z96="Agak Benar",1,0)))</f>
        <v>1</v>
      </c>
      <c r="AA96" s="8">
        <f>IF(Responses!AA96="","",IF(Responses!AA96="Tidak Benar",2,IF(Responses!AA96="Agak Benar",1,0)))</f>
        <v>1</v>
      </c>
      <c r="AB96" s="8">
        <f>IF(Responses!AB96="","",IF(Responses!AB96="Benar",2,IF(Responses!AB96="Agak Benar",1,0)))</f>
        <v>0</v>
      </c>
      <c r="AC96" s="8">
        <f>IF(Responses!AC96="","",IF(Responses!AC96="Benar",2,IF(Responses!AC96="Agak Benar",1,0)))</f>
        <v>0</v>
      </c>
      <c r="AD96" s="8">
        <f>IF(Responses!AD96="","",IF(Responses!AD96="Benar",2,IF(Responses!AD96="Agak Benar",1,0)))</f>
        <v>1</v>
      </c>
      <c r="AE96" s="8">
        <f>IF(Responses!AE96="","",IF(Responses!AE96="Tidak Benar",2,IF(Responses!AE96="Agak Benar",1,0)))</f>
        <v>0</v>
      </c>
      <c r="AF96" s="20">
        <f t="shared" si="24"/>
        <v>5</v>
      </c>
      <c r="AG96" s="20">
        <f t="shared" si="25"/>
        <v>0</v>
      </c>
      <c r="AH96" s="20">
        <f t="shared" si="26"/>
        <v>3</v>
      </c>
      <c r="AI96" s="20">
        <f t="shared" si="27"/>
        <v>0</v>
      </c>
      <c r="AJ96" s="20">
        <f t="shared" si="28"/>
        <v>8</v>
      </c>
      <c r="AK96" s="20" t="str">
        <f t="shared" si="29"/>
        <v>Normal</v>
      </c>
      <c r="AL96" s="20" t="str">
        <f t="shared" si="30"/>
        <v>Normal</v>
      </c>
      <c r="AM96" s="20" t="str">
        <f t="shared" si="31"/>
        <v>Normal</v>
      </c>
      <c r="AN96" s="20" t="str">
        <f t="shared" si="32"/>
        <v>Normal</v>
      </c>
      <c r="AO96" s="20" t="str">
        <f t="shared" si="33"/>
        <v>Normal</v>
      </c>
      <c r="AP96" s="20">
        <f t="shared" si="34"/>
        <v>8</v>
      </c>
      <c r="AQ96" s="20" t="str">
        <f t="shared" si="35"/>
        <v>Normal</v>
      </c>
    </row>
    <row r="97" spans="1:43" x14ac:dyDescent="0.3">
      <c r="A97" s="19" t="str">
        <f>Responses!A97</f>
        <v>Eqd4Bb4</v>
      </c>
      <c r="B97" s="19" t="str">
        <f>Responses!B97</f>
        <v>1Ab1ZgO</v>
      </c>
      <c r="C97" s="19">
        <f>Responses!C97</f>
        <v>46136.125821759262</v>
      </c>
      <c r="D97" s="19" t="str">
        <f>Responses!D97</f>
        <v>Aldo Damar Djati</v>
      </c>
      <c r="E97" s="19" t="str">
        <f>Responses!E97</f>
        <v>XI-4</v>
      </c>
      <c r="F97" s="19">
        <f>Responses!F97</f>
        <v>16</v>
      </c>
      <c r="G97" s="8">
        <f>IF(Responses!G97="","",IF(Responses!G97="Benar",2,IF(Responses!G97="Agak Benar",1,0)))</f>
        <v>2</v>
      </c>
      <c r="H97" s="8">
        <f>IF(Responses!H97="","",IF(Responses!H97="Benar",2,IF(Responses!H97="Agak Benar",1,0)))</f>
        <v>1</v>
      </c>
      <c r="I97" s="8">
        <f>IF(Responses!I97="","",IF(Responses!I97="Benar",2,IF(Responses!I97="Agak Benar",1,0)))</f>
        <v>0</v>
      </c>
      <c r="J97" s="8">
        <f>IF(Responses!J97="","",IF(Responses!J97="Benar",2,IF(Responses!J97="Agak Benar",1,0)))</f>
        <v>1</v>
      </c>
      <c r="K97" s="8">
        <f>IF(Responses!K97="","",IF(Responses!K97="Benar",2,IF(Responses!K97="Agak Benar",1,0)))</f>
        <v>0</v>
      </c>
      <c r="L97" s="8">
        <f>IF(Responses!L97="","",IF(Responses!L97="Benar",2,IF(Responses!L97="Agak Benar",1,0)))</f>
        <v>1</v>
      </c>
      <c r="M97" s="8">
        <f>IF(Responses!M97="","",IF(Responses!M97="Tidak Benar",2,IF(Responses!M97="Agak Benar",1,0)))</f>
        <v>2</v>
      </c>
      <c r="N97" s="8">
        <f>IF(Responses!N97="","",IF(Responses!N97="Benar",2,IF(Responses!N97="Agak Benar",1,0)))</f>
        <v>1</v>
      </c>
      <c r="O97" s="8">
        <f>IF(Responses!O97="","",IF(Responses!O97="Benar",2,IF(Responses!O97="Agak Benar",1,0)))</f>
        <v>0</v>
      </c>
      <c r="P97" s="8">
        <f>IF(Responses!P97="","",IF(Responses!P97="Benar",2,IF(Responses!P97="Agak Benar",1,0)))</f>
        <v>0</v>
      </c>
      <c r="Q97" s="8">
        <f>IF(Responses!Q97="","",IF(Responses!Q97="Tidak Benar",2,IF(Responses!Q97="Agak Benar",1,0)))</f>
        <v>0</v>
      </c>
      <c r="R97" s="8">
        <f>IF(Responses!R97="","",IF(Responses!R97="Benar",2,IF(Responses!R97="Agak Benar",1,0)))</f>
        <v>0</v>
      </c>
      <c r="S97" s="8">
        <f>IF(Responses!S97="","",IF(Responses!S97="Benar",2,IF(Responses!S97="Agak Benar",1,0)))</f>
        <v>0</v>
      </c>
      <c r="T97" s="8">
        <f>IF(Responses!T97="","",IF(Responses!T97="Tidak Benar",2,IF(Responses!T97="Agak Benar",1,0)))</f>
        <v>0</v>
      </c>
      <c r="U97" s="8">
        <f>IF(Responses!U97="","",IF(Responses!U97="Benar",2,IF(Responses!U97="Agak Benar",1,0)))</f>
        <v>0</v>
      </c>
      <c r="V97" s="8">
        <f>IF(Responses!V97="","",IF(Responses!V97="Benar",2,IF(Responses!V97="Agak Benar",1,0)))</f>
        <v>0</v>
      </c>
      <c r="W97" s="8">
        <f>IF(Responses!W97="","",IF(Responses!W97="Benar",2,IF(Responses!W97="Agak Benar",1,0)))</f>
        <v>2</v>
      </c>
      <c r="X97" s="8">
        <f>IF(Responses!X97="","",IF(Responses!X97="Benar",2,IF(Responses!X97="Agak Benar",1,0)))</f>
        <v>0</v>
      </c>
      <c r="Y97" s="8">
        <f>IF(Responses!Y97="","",IF(Responses!Y97="Benar",2,IF(Responses!Y97="Agak Benar",1,0)))</f>
        <v>0</v>
      </c>
      <c r="Z97" s="8">
        <f>IF(Responses!Z97="","",IF(Responses!Z97="Benar",2,IF(Responses!Z97="Agak Benar",1,0)))</f>
        <v>2</v>
      </c>
      <c r="AA97" s="8">
        <f>IF(Responses!AA97="","",IF(Responses!AA97="Tidak Benar",2,IF(Responses!AA97="Agak Benar",1,0)))</f>
        <v>0</v>
      </c>
      <c r="AB97" s="8">
        <f>IF(Responses!AB97="","",IF(Responses!AB97="Benar",2,IF(Responses!AB97="Agak Benar",1,0)))</f>
        <v>0</v>
      </c>
      <c r="AC97" s="8">
        <f>IF(Responses!AC97="","",IF(Responses!AC97="Benar",2,IF(Responses!AC97="Agak Benar",1,0)))</f>
        <v>2</v>
      </c>
      <c r="AD97" s="8">
        <f>IF(Responses!AD97="","",IF(Responses!AD97="Benar",2,IF(Responses!AD97="Agak Benar",1,0)))</f>
        <v>0</v>
      </c>
      <c r="AE97" s="8">
        <f>IF(Responses!AE97="","",IF(Responses!AE97="Tidak Benar",2,IF(Responses!AE97="Agak Benar",1,0)))</f>
        <v>0</v>
      </c>
      <c r="AF97" s="20">
        <f t="shared" si="24"/>
        <v>1</v>
      </c>
      <c r="AG97" s="20">
        <f t="shared" si="25"/>
        <v>2</v>
      </c>
      <c r="AH97" s="20">
        <f t="shared" si="26"/>
        <v>1</v>
      </c>
      <c r="AI97" s="20">
        <f t="shared" si="27"/>
        <v>3</v>
      </c>
      <c r="AJ97" s="20">
        <f t="shared" si="28"/>
        <v>7</v>
      </c>
      <c r="AK97" s="20" t="str">
        <f t="shared" si="29"/>
        <v>Normal</v>
      </c>
      <c r="AL97" s="20" t="str">
        <f t="shared" si="30"/>
        <v>Normal</v>
      </c>
      <c r="AM97" s="20" t="str">
        <f t="shared" si="31"/>
        <v>Normal</v>
      </c>
      <c r="AN97" s="20" t="str">
        <f t="shared" si="32"/>
        <v>Normal</v>
      </c>
      <c r="AO97" s="20" t="str">
        <f t="shared" si="33"/>
        <v>Normal</v>
      </c>
      <c r="AP97" s="20">
        <f t="shared" si="34"/>
        <v>7</v>
      </c>
      <c r="AQ97" s="20" t="str">
        <f t="shared" si="35"/>
        <v>Normal</v>
      </c>
    </row>
    <row r="98" spans="1:43" x14ac:dyDescent="0.3">
      <c r="A98" s="19" t="str">
        <f>Responses!A98</f>
        <v>vXeQqZX</v>
      </c>
      <c r="B98" s="19" t="str">
        <f>Responses!B98</f>
        <v>ob0rbDx</v>
      </c>
      <c r="C98" s="19">
        <f>Responses!C98</f>
        <v>46136.126122685193</v>
      </c>
      <c r="D98" s="19" t="str">
        <f>Responses!D98</f>
        <v xml:space="preserve">Abdullah Azizi </v>
      </c>
      <c r="E98" s="19" t="str">
        <f>Responses!E98</f>
        <v>XI-4</v>
      </c>
      <c r="F98" s="19">
        <f>Responses!F98</f>
        <v>17</v>
      </c>
      <c r="G98" s="8">
        <f>IF(Responses!G98="","",IF(Responses!G98="Benar",2,IF(Responses!G98="Agak Benar",1,0)))</f>
        <v>2</v>
      </c>
      <c r="H98" s="8">
        <f>IF(Responses!H98="","",IF(Responses!H98="Benar",2,IF(Responses!H98="Agak Benar",1,0)))</f>
        <v>2</v>
      </c>
      <c r="I98" s="8">
        <f>IF(Responses!I98="","",IF(Responses!I98="Benar",2,IF(Responses!I98="Agak Benar",1,0)))</f>
        <v>0</v>
      </c>
      <c r="J98" s="8">
        <f>IF(Responses!J98="","",IF(Responses!J98="Benar",2,IF(Responses!J98="Agak Benar",1,0)))</f>
        <v>2</v>
      </c>
      <c r="K98" s="8">
        <f>IF(Responses!K98="","",IF(Responses!K98="Benar",2,IF(Responses!K98="Agak Benar",1,0)))</f>
        <v>1</v>
      </c>
      <c r="L98" s="8">
        <f>IF(Responses!L98="","",IF(Responses!L98="Benar",2,IF(Responses!L98="Agak Benar",1,0)))</f>
        <v>1</v>
      </c>
      <c r="M98" s="8">
        <f>IF(Responses!M98="","",IF(Responses!M98="Tidak Benar",2,IF(Responses!M98="Agak Benar",1,0)))</f>
        <v>2</v>
      </c>
      <c r="N98" s="8">
        <f>IF(Responses!N98="","",IF(Responses!N98="Benar",2,IF(Responses!N98="Agak Benar",1,0)))</f>
        <v>2</v>
      </c>
      <c r="O98" s="8">
        <f>IF(Responses!O98="","",IF(Responses!O98="Benar",2,IF(Responses!O98="Agak Benar",1,0)))</f>
        <v>2</v>
      </c>
      <c r="P98" s="8">
        <f>IF(Responses!P98="","",IF(Responses!P98="Benar",2,IF(Responses!P98="Agak Benar",1,0)))</f>
        <v>0</v>
      </c>
      <c r="Q98" s="8">
        <f>IF(Responses!Q98="","",IF(Responses!Q98="Tidak Benar",2,IF(Responses!Q98="Agak Benar",1,0)))</f>
        <v>0</v>
      </c>
      <c r="R98" s="8">
        <f>IF(Responses!R98="","",IF(Responses!R98="Benar",2,IF(Responses!R98="Agak Benar",1,0)))</f>
        <v>0</v>
      </c>
      <c r="S98" s="8">
        <f>IF(Responses!S98="","",IF(Responses!S98="Benar",2,IF(Responses!S98="Agak Benar",1,0)))</f>
        <v>1</v>
      </c>
      <c r="T98" s="8">
        <f>IF(Responses!T98="","",IF(Responses!T98="Tidak Benar",2,IF(Responses!T98="Agak Benar",1,0)))</f>
        <v>0</v>
      </c>
      <c r="U98" s="8">
        <f>IF(Responses!U98="","",IF(Responses!U98="Benar",2,IF(Responses!U98="Agak Benar",1,0)))</f>
        <v>0</v>
      </c>
      <c r="V98" s="8">
        <f>IF(Responses!V98="","",IF(Responses!V98="Benar",2,IF(Responses!V98="Agak Benar",1,0)))</f>
        <v>0</v>
      </c>
      <c r="W98" s="8">
        <f>IF(Responses!W98="","",IF(Responses!W98="Benar",2,IF(Responses!W98="Agak Benar",1,0)))</f>
        <v>2</v>
      </c>
      <c r="X98" s="8">
        <f>IF(Responses!X98="","",IF(Responses!X98="Benar",2,IF(Responses!X98="Agak Benar",1,0)))</f>
        <v>0</v>
      </c>
      <c r="Y98" s="8">
        <f>IF(Responses!Y98="","",IF(Responses!Y98="Benar",2,IF(Responses!Y98="Agak Benar",1,0)))</f>
        <v>2</v>
      </c>
      <c r="Z98" s="8">
        <f>IF(Responses!Z98="","",IF(Responses!Z98="Benar",2,IF(Responses!Z98="Agak Benar",1,0)))</f>
        <v>0</v>
      </c>
      <c r="AA98" s="8">
        <f>IF(Responses!AA98="","",IF(Responses!AA98="Tidak Benar",2,IF(Responses!AA98="Agak Benar",1,0)))</f>
        <v>0</v>
      </c>
      <c r="AB98" s="8">
        <f>IF(Responses!AB98="","",IF(Responses!AB98="Benar",2,IF(Responses!AB98="Agak Benar",1,0)))</f>
        <v>0</v>
      </c>
      <c r="AC98" s="8">
        <f>IF(Responses!AC98="","",IF(Responses!AC98="Benar",2,IF(Responses!AC98="Agak Benar",1,0)))</f>
        <v>0</v>
      </c>
      <c r="AD98" s="8">
        <f>IF(Responses!AD98="","",IF(Responses!AD98="Benar",2,IF(Responses!AD98="Agak Benar",1,0)))</f>
        <v>0</v>
      </c>
      <c r="AE98" s="8">
        <f>IF(Responses!AE98="","",IF(Responses!AE98="Tidak Benar",2,IF(Responses!AE98="Agak Benar",1,0)))</f>
        <v>0</v>
      </c>
      <c r="AF98" s="20">
        <f t="shared" ref="AF98:AF127" si="36">IF(A98="","",I98+N98+S98+V98+AD98)</f>
        <v>3</v>
      </c>
      <c r="AG98" s="20">
        <f t="shared" ref="AG98:AG127" si="37">IF(A98="","",K98+M98+R98+X98+AB98)</f>
        <v>3</v>
      </c>
      <c r="AH98" s="20">
        <f t="shared" ref="AH98:AH127" si="38">IF(A98="","",H98+P98+U98+AA98+AE98)</f>
        <v>2</v>
      </c>
      <c r="AI98" s="20">
        <f t="shared" ref="AI98:AI127" si="39">IF(A98="","",L98+Q98+T98+Y98+AC98)</f>
        <v>3</v>
      </c>
      <c r="AJ98" s="20">
        <f t="shared" ref="AJ98:AJ127" si="40">IF(A98="","",G98+J98+O98+W98+Z98)</f>
        <v>8</v>
      </c>
      <c r="AK98" s="20" t="str">
        <f t="shared" ref="AK98:AK127" si="41">IF(AF98="","",IF(AF98&lt;=5,"Normal",IF(AF98=6,"Borderline","Abnormal")))</f>
        <v>Normal</v>
      </c>
      <c r="AL98" s="20" t="str">
        <f t="shared" ref="AL98:AL127" si="42">IF(AG98="","",IF(AG98&lt;=3,"Normal",IF(AG98=4,"Borderline","Abnormal")))</f>
        <v>Normal</v>
      </c>
      <c r="AM98" s="20" t="str">
        <f t="shared" ref="AM98:AM127" si="43">IF(AH98="","",IF(AH98&lt;=5,"Normal",IF(AH98=6,"Borderline","Abnormal")))</f>
        <v>Normal</v>
      </c>
      <c r="AN98" s="20" t="str">
        <f t="shared" ref="AN98:AN127" si="44">IF(AI98="","",IF(AI98&lt;=3,"Normal",IF(AI98&lt;=5,"Borderline","Abnormal")))</f>
        <v>Normal</v>
      </c>
      <c r="AO98" s="20" t="str">
        <f t="shared" ref="AO98:AO127" si="45">IF(AJ98="","",IF(AJ98&gt;=6,"Normal",IF(AJ98=5,"Borderline","Abnormal")))</f>
        <v>Normal</v>
      </c>
      <c r="AP98" s="20">
        <f t="shared" si="34"/>
        <v>11</v>
      </c>
      <c r="AQ98" s="20" t="str">
        <f t="shared" si="35"/>
        <v>Normal</v>
      </c>
    </row>
    <row r="99" spans="1:43" x14ac:dyDescent="0.3">
      <c r="A99" s="19" t="str">
        <f>Responses!A99</f>
        <v>Kp5qvPz</v>
      </c>
      <c r="B99" s="19" t="str">
        <f>Responses!B99</f>
        <v>yP0KPRX</v>
      </c>
      <c r="C99" s="19">
        <f>Responses!C99</f>
        <v>46136.126250000001</v>
      </c>
      <c r="D99" s="19" t="str">
        <f>Responses!D99</f>
        <v xml:space="preserve">saena dwi febriani </v>
      </c>
      <c r="E99" s="19" t="str">
        <f>Responses!E99</f>
        <v>XI-4</v>
      </c>
      <c r="F99" s="19">
        <f>Responses!F99</f>
        <v>18</v>
      </c>
      <c r="G99" s="8">
        <f>IF(Responses!G99="","",IF(Responses!G99="Benar",2,IF(Responses!G99="Agak Benar",1,0)))</f>
        <v>2</v>
      </c>
      <c r="H99" s="8">
        <f>IF(Responses!H99="","",IF(Responses!H99="Benar",2,IF(Responses!H99="Agak Benar",1,0)))</f>
        <v>0</v>
      </c>
      <c r="I99" s="8">
        <f>IF(Responses!I99="","",IF(Responses!I99="Benar",2,IF(Responses!I99="Agak Benar",1,0)))</f>
        <v>1</v>
      </c>
      <c r="J99" s="8">
        <f>IF(Responses!J99="","",IF(Responses!J99="Benar",2,IF(Responses!J99="Agak Benar",1,0)))</f>
        <v>2</v>
      </c>
      <c r="K99" s="8">
        <f>IF(Responses!K99="","",IF(Responses!K99="Benar",2,IF(Responses!K99="Agak Benar",1,0)))</f>
        <v>0</v>
      </c>
      <c r="L99" s="8">
        <f>IF(Responses!L99="","",IF(Responses!L99="Benar",2,IF(Responses!L99="Agak Benar",1,0)))</f>
        <v>0</v>
      </c>
      <c r="M99" s="8">
        <f>IF(Responses!M99="","",IF(Responses!M99="Tidak Benar",2,IF(Responses!M99="Agak Benar",1,0)))</f>
        <v>2</v>
      </c>
      <c r="N99" s="8">
        <f>IF(Responses!N99="","",IF(Responses!N99="Benar",2,IF(Responses!N99="Agak Benar",1,0)))</f>
        <v>2</v>
      </c>
      <c r="O99" s="8">
        <f>IF(Responses!O99="","",IF(Responses!O99="Benar",2,IF(Responses!O99="Agak Benar",1,0)))</f>
        <v>2</v>
      </c>
      <c r="P99" s="8">
        <f>IF(Responses!P99="","",IF(Responses!P99="Benar",2,IF(Responses!P99="Agak Benar",1,0)))</f>
        <v>0</v>
      </c>
      <c r="Q99" s="8">
        <f>IF(Responses!Q99="","",IF(Responses!Q99="Tidak Benar",2,IF(Responses!Q99="Agak Benar",1,0)))</f>
        <v>0</v>
      </c>
      <c r="R99" s="8">
        <f>IF(Responses!R99="","",IF(Responses!R99="Benar",2,IF(Responses!R99="Agak Benar",1,0)))</f>
        <v>0</v>
      </c>
      <c r="S99" s="8">
        <f>IF(Responses!S99="","",IF(Responses!S99="Benar",2,IF(Responses!S99="Agak Benar",1,0)))</f>
        <v>0</v>
      </c>
      <c r="T99" s="8">
        <f>IF(Responses!T99="","",IF(Responses!T99="Tidak Benar",2,IF(Responses!T99="Agak Benar",1,0)))</f>
        <v>2</v>
      </c>
      <c r="U99" s="8">
        <f>IF(Responses!U99="","",IF(Responses!U99="Benar",2,IF(Responses!U99="Agak Benar",1,0)))</f>
        <v>0</v>
      </c>
      <c r="V99" s="8">
        <f>IF(Responses!V99="","",IF(Responses!V99="Benar",2,IF(Responses!V99="Agak Benar",1,0)))</f>
        <v>1</v>
      </c>
      <c r="W99" s="8">
        <f>IF(Responses!W99="","",IF(Responses!W99="Benar",2,IF(Responses!W99="Agak Benar",1,0)))</f>
        <v>2</v>
      </c>
      <c r="X99" s="8">
        <f>IF(Responses!X99="","",IF(Responses!X99="Benar",2,IF(Responses!X99="Agak Benar",1,0)))</f>
        <v>0</v>
      </c>
      <c r="Y99" s="8">
        <f>IF(Responses!Y99="","",IF(Responses!Y99="Benar",2,IF(Responses!Y99="Agak Benar",1,0)))</f>
        <v>0</v>
      </c>
      <c r="Z99" s="8">
        <f>IF(Responses!Z99="","",IF(Responses!Z99="Benar",2,IF(Responses!Z99="Agak Benar",1,0)))</f>
        <v>2</v>
      </c>
      <c r="AA99" s="8">
        <f>IF(Responses!AA99="","",IF(Responses!AA99="Tidak Benar",2,IF(Responses!AA99="Agak Benar",1,0)))</f>
        <v>0</v>
      </c>
      <c r="AB99" s="8">
        <f>IF(Responses!AB99="","",IF(Responses!AB99="Benar",2,IF(Responses!AB99="Agak Benar",1,0)))</f>
        <v>0</v>
      </c>
      <c r="AC99" s="8">
        <f>IF(Responses!AC99="","",IF(Responses!AC99="Benar",2,IF(Responses!AC99="Agak Benar",1,0)))</f>
        <v>0</v>
      </c>
      <c r="AD99" s="8">
        <f>IF(Responses!AD99="","",IF(Responses!AD99="Benar",2,IF(Responses!AD99="Agak Benar",1,0)))</f>
        <v>1</v>
      </c>
      <c r="AE99" s="8">
        <f>IF(Responses!AE99="","",IF(Responses!AE99="Tidak Benar",2,IF(Responses!AE99="Agak Benar",1,0)))</f>
        <v>0</v>
      </c>
      <c r="AF99" s="20">
        <f t="shared" si="36"/>
        <v>5</v>
      </c>
      <c r="AG99" s="20">
        <f t="shared" si="37"/>
        <v>2</v>
      </c>
      <c r="AH99" s="20">
        <f t="shared" si="38"/>
        <v>0</v>
      </c>
      <c r="AI99" s="20">
        <f t="shared" si="39"/>
        <v>2</v>
      </c>
      <c r="AJ99" s="20">
        <f t="shared" si="40"/>
        <v>10</v>
      </c>
      <c r="AK99" s="20" t="str">
        <f t="shared" si="41"/>
        <v>Normal</v>
      </c>
      <c r="AL99" s="20" t="str">
        <f t="shared" si="42"/>
        <v>Normal</v>
      </c>
      <c r="AM99" s="20" t="str">
        <f t="shared" si="43"/>
        <v>Normal</v>
      </c>
      <c r="AN99" s="20" t="str">
        <f t="shared" si="44"/>
        <v>Normal</v>
      </c>
      <c r="AO99" s="20" t="str">
        <f t="shared" si="45"/>
        <v>Normal</v>
      </c>
      <c r="AP99" s="20">
        <f t="shared" si="34"/>
        <v>9</v>
      </c>
      <c r="AQ99" s="20" t="str">
        <f t="shared" si="35"/>
        <v>Normal</v>
      </c>
    </row>
    <row r="100" spans="1:43" x14ac:dyDescent="0.3">
      <c r="A100" s="19" t="str">
        <f>Responses!A100</f>
        <v>peylJpJ</v>
      </c>
      <c r="B100" s="19" t="str">
        <f>Responses!B100</f>
        <v>ja0dZDR</v>
      </c>
      <c r="C100" s="19">
        <f>Responses!C100</f>
        <v>46136.126539351862</v>
      </c>
      <c r="D100" s="19" t="str">
        <f>Responses!D100</f>
        <v xml:space="preserve">Davian Alvin Mardika </v>
      </c>
      <c r="E100" s="19" t="str">
        <f>Responses!E100</f>
        <v>XI-4</v>
      </c>
      <c r="F100" s="19">
        <f>Responses!F100</f>
        <v>17</v>
      </c>
      <c r="G100" s="8">
        <f>IF(Responses!G100="","",IF(Responses!G100="Benar",2,IF(Responses!G100="Agak Benar",1,0)))</f>
        <v>2</v>
      </c>
      <c r="H100" s="8">
        <f>IF(Responses!H100="","",IF(Responses!H100="Benar",2,IF(Responses!H100="Agak Benar",1,0)))</f>
        <v>0</v>
      </c>
      <c r="I100" s="8">
        <f>IF(Responses!I100="","",IF(Responses!I100="Benar",2,IF(Responses!I100="Agak Benar",1,0)))</f>
        <v>0</v>
      </c>
      <c r="J100" s="8">
        <f>IF(Responses!J100="","",IF(Responses!J100="Benar",2,IF(Responses!J100="Agak Benar",1,0)))</f>
        <v>2</v>
      </c>
      <c r="K100" s="8">
        <f>IF(Responses!K100="","",IF(Responses!K100="Benar",2,IF(Responses!K100="Agak Benar",1,0)))</f>
        <v>0</v>
      </c>
      <c r="L100" s="8">
        <f>IF(Responses!L100="","",IF(Responses!L100="Benar",2,IF(Responses!L100="Agak Benar",1,0)))</f>
        <v>0</v>
      </c>
      <c r="M100" s="8">
        <f>IF(Responses!M100="","",IF(Responses!M100="Tidak Benar",2,IF(Responses!M100="Agak Benar",1,0)))</f>
        <v>0</v>
      </c>
      <c r="N100" s="8">
        <f>IF(Responses!N100="","",IF(Responses!N100="Benar",2,IF(Responses!N100="Agak Benar",1,0)))</f>
        <v>0</v>
      </c>
      <c r="O100" s="8">
        <f>IF(Responses!O100="","",IF(Responses!O100="Benar",2,IF(Responses!O100="Agak Benar",1,0)))</f>
        <v>2</v>
      </c>
      <c r="P100" s="8">
        <f>IF(Responses!P100="","",IF(Responses!P100="Benar",2,IF(Responses!P100="Agak Benar",1,0)))</f>
        <v>1</v>
      </c>
      <c r="Q100" s="8">
        <f>IF(Responses!Q100="","",IF(Responses!Q100="Tidak Benar",2,IF(Responses!Q100="Agak Benar",1,0)))</f>
        <v>0</v>
      </c>
      <c r="R100" s="8">
        <f>IF(Responses!R100="","",IF(Responses!R100="Benar",2,IF(Responses!R100="Agak Benar",1,0)))</f>
        <v>0</v>
      </c>
      <c r="S100" s="8">
        <f>IF(Responses!S100="","",IF(Responses!S100="Benar",2,IF(Responses!S100="Agak Benar",1,0)))</f>
        <v>0</v>
      </c>
      <c r="T100" s="8">
        <f>IF(Responses!T100="","",IF(Responses!T100="Tidak Benar",2,IF(Responses!T100="Agak Benar",1,0)))</f>
        <v>0</v>
      </c>
      <c r="U100" s="8">
        <f>IF(Responses!U100="","",IF(Responses!U100="Benar",2,IF(Responses!U100="Agak Benar",1,0)))</f>
        <v>1</v>
      </c>
      <c r="V100" s="8">
        <f>IF(Responses!V100="","",IF(Responses!V100="Benar",2,IF(Responses!V100="Agak Benar",1,0)))</f>
        <v>0</v>
      </c>
      <c r="W100" s="8">
        <f>IF(Responses!W100="","",IF(Responses!W100="Benar",2,IF(Responses!W100="Agak Benar",1,0)))</f>
        <v>2</v>
      </c>
      <c r="X100" s="8">
        <f>IF(Responses!X100="","",IF(Responses!X100="Benar",2,IF(Responses!X100="Agak Benar",1,0)))</f>
        <v>0</v>
      </c>
      <c r="Y100" s="8">
        <f>IF(Responses!Y100="","",IF(Responses!Y100="Benar",2,IF(Responses!Y100="Agak Benar",1,0)))</f>
        <v>0</v>
      </c>
      <c r="Z100" s="8">
        <f>IF(Responses!Z100="","",IF(Responses!Z100="Benar",2,IF(Responses!Z100="Agak Benar",1,0)))</f>
        <v>2</v>
      </c>
      <c r="AA100" s="8">
        <f>IF(Responses!AA100="","",IF(Responses!AA100="Tidak Benar",2,IF(Responses!AA100="Agak Benar",1,0)))</f>
        <v>0</v>
      </c>
      <c r="AB100" s="8">
        <f>IF(Responses!AB100="","",IF(Responses!AB100="Benar",2,IF(Responses!AB100="Agak Benar",1,0)))</f>
        <v>0</v>
      </c>
      <c r="AC100" s="8">
        <f>IF(Responses!AC100="","",IF(Responses!AC100="Benar",2,IF(Responses!AC100="Agak Benar",1,0)))</f>
        <v>1</v>
      </c>
      <c r="AD100" s="8">
        <f>IF(Responses!AD100="","",IF(Responses!AD100="Benar",2,IF(Responses!AD100="Agak Benar",1,0)))</f>
        <v>0</v>
      </c>
      <c r="AE100" s="8">
        <f>IF(Responses!AE100="","",IF(Responses!AE100="Tidak Benar",2,IF(Responses!AE100="Agak Benar",1,0)))</f>
        <v>0</v>
      </c>
      <c r="AF100" s="20">
        <f t="shared" si="36"/>
        <v>0</v>
      </c>
      <c r="AG100" s="20">
        <f t="shared" si="37"/>
        <v>0</v>
      </c>
      <c r="AH100" s="20">
        <f t="shared" si="38"/>
        <v>2</v>
      </c>
      <c r="AI100" s="20">
        <f t="shared" si="39"/>
        <v>1</v>
      </c>
      <c r="AJ100" s="20">
        <f t="shared" si="40"/>
        <v>10</v>
      </c>
      <c r="AK100" s="20" t="str">
        <f t="shared" si="41"/>
        <v>Normal</v>
      </c>
      <c r="AL100" s="20" t="str">
        <f t="shared" si="42"/>
        <v>Normal</v>
      </c>
      <c r="AM100" s="20" t="str">
        <f t="shared" si="43"/>
        <v>Normal</v>
      </c>
      <c r="AN100" s="20" t="str">
        <f t="shared" si="44"/>
        <v>Normal</v>
      </c>
      <c r="AO100" s="20" t="str">
        <f t="shared" si="45"/>
        <v>Normal</v>
      </c>
      <c r="AP100" s="20">
        <f t="shared" si="34"/>
        <v>3</v>
      </c>
      <c r="AQ100" s="20" t="str">
        <f t="shared" si="35"/>
        <v>Normal</v>
      </c>
    </row>
    <row r="101" spans="1:43" x14ac:dyDescent="0.3">
      <c r="A101" s="19" t="str">
        <f>Responses!A101</f>
        <v>4aJgzXk</v>
      </c>
      <c r="B101" s="19" t="str">
        <f>Responses!B101</f>
        <v>KYP7e1M</v>
      </c>
      <c r="C101" s="19">
        <f>Responses!C101</f>
        <v>46136.126793981479</v>
      </c>
      <c r="D101" s="19" t="str">
        <f>Responses!D101</f>
        <v xml:space="preserve">Maresta Rakha Rashendra </v>
      </c>
      <c r="E101" s="19" t="str">
        <f>Responses!E101</f>
        <v>XI-4</v>
      </c>
      <c r="F101" s="19">
        <f>Responses!F101</f>
        <v>17</v>
      </c>
      <c r="G101" s="8">
        <f>IF(Responses!G101="","",IF(Responses!G101="Benar",2,IF(Responses!G101="Agak Benar",1,0)))</f>
        <v>1</v>
      </c>
      <c r="H101" s="8">
        <f>IF(Responses!H101="","",IF(Responses!H101="Benar",2,IF(Responses!H101="Agak Benar",1,0)))</f>
        <v>0</v>
      </c>
      <c r="I101" s="8">
        <f>IF(Responses!I101="","",IF(Responses!I101="Benar",2,IF(Responses!I101="Agak Benar",1,0)))</f>
        <v>0</v>
      </c>
      <c r="J101" s="8">
        <f>IF(Responses!J101="","",IF(Responses!J101="Benar",2,IF(Responses!J101="Agak Benar",1,0)))</f>
        <v>1</v>
      </c>
      <c r="K101" s="8">
        <f>IF(Responses!K101="","",IF(Responses!K101="Benar",2,IF(Responses!K101="Agak Benar",1,0)))</f>
        <v>0</v>
      </c>
      <c r="L101" s="8">
        <f>IF(Responses!L101="","",IF(Responses!L101="Benar",2,IF(Responses!L101="Agak Benar",1,0)))</f>
        <v>0</v>
      </c>
      <c r="M101" s="8">
        <f>IF(Responses!M101="","",IF(Responses!M101="Tidak Benar",2,IF(Responses!M101="Agak Benar",1,0)))</f>
        <v>2</v>
      </c>
      <c r="N101" s="8">
        <f>IF(Responses!N101="","",IF(Responses!N101="Benar",2,IF(Responses!N101="Agak Benar",1,0)))</f>
        <v>0</v>
      </c>
      <c r="O101" s="8">
        <f>IF(Responses!O101="","",IF(Responses!O101="Benar",2,IF(Responses!O101="Agak Benar",1,0)))</f>
        <v>1</v>
      </c>
      <c r="P101" s="8">
        <f>IF(Responses!P101="","",IF(Responses!P101="Benar",2,IF(Responses!P101="Agak Benar",1,0)))</f>
        <v>0</v>
      </c>
      <c r="Q101" s="8">
        <f>IF(Responses!Q101="","",IF(Responses!Q101="Tidak Benar",2,IF(Responses!Q101="Agak Benar",1,0)))</f>
        <v>0</v>
      </c>
      <c r="R101" s="8">
        <f>IF(Responses!R101="","",IF(Responses!R101="Benar",2,IF(Responses!R101="Agak Benar",1,0)))</f>
        <v>0</v>
      </c>
      <c r="S101" s="8">
        <f>IF(Responses!S101="","",IF(Responses!S101="Benar",2,IF(Responses!S101="Agak Benar",1,0)))</f>
        <v>0</v>
      </c>
      <c r="T101" s="8">
        <f>IF(Responses!T101="","",IF(Responses!T101="Tidak Benar",2,IF(Responses!T101="Agak Benar",1,0)))</f>
        <v>0</v>
      </c>
      <c r="U101" s="8">
        <f>IF(Responses!U101="","",IF(Responses!U101="Benar",2,IF(Responses!U101="Agak Benar",1,0)))</f>
        <v>1</v>
      </c>
      <c r="V101" s="8">
        <f>IF(Responses!V101="","",IF(Responses!V101="Benar",2,IF(Responses!V101="Agak Benar",1,0)))</f>
        <v>0</v>
      </c>
      <c r="W101" s="8">
        <f>IF(Responses!W101="","",IF(Responses!W101="Benar",2,IF(Responses!W101="Agak Benar",1,0)))</f>
        <v>2</v>
      </c>
      <c r="X101" s="8">
        <f>IF(Responses!X101="","",IF(Responses!X101="Benar",2,IF(Responses!X101="Agak Benar",1,0)))</f>
        <v>0</v>
      </c>
      <c r="Y101" s="8">
        <f>IF(Responses!Y101="","",IF(Responses!Y101="Benar",2,IF(Responses!Y101="Agak Benar",1,0)))</f>
        <v>0</v>
      </c>
      <c r="Z101" s="8">
        <f>IF(Responses!Z101="","",IF(Responses!Z101="Benar",2,IF(Responses!Z101="Agak Benar",1,0)))</f>
        <v>1</v>
      </c>
      <c r="AA101" s="8">
        <f>IF(Responses!AA101="","",IF(Responses!AA101="Tidak Benar",2,IF(Responses!AA101="Agak Benar",1,0)))</f>
        <v>0</v>
      </c>
      <c r="AB101" s="8">
        <f>IF(Responses!AB101="","",IF(Responses!AB101="Benar",2,IF(Responses!AB101="Agak Benar",1,0)))</f>
        <v>0</v>
      </c>
      <c r="AC101" s="8">
        <f>IF(Responses!AC101="","",IF(Responses!AC101="Benar",2,IF(Responses!AC101="Agak Benar",1,0)))</f>
        <v>1</v>
      </c>
      <c r="AD101" s="8">
        <f>IF(Responses!AD101="","",IF(Responses!AD101="Benar",2,IF(Responses!AD101="Agak Benar",1,0)))</f>
        <v>0</v>
      </c>
      <c r="AE101" s="8">
        <f>IF(Responses!AE101="","",IF(Responses!AE101="Tidak Benar",2,IF(Responses!AE101="Agak Benar",1,0)))</f>
        <v>0</v>
      </c>
      <c r="AF101" s="20">
        <f t="shared" si="36"/>
        <v>0</v>
      </c>
      <c r="AG101" s="20">
        <f t="shared" si="37"/>
        <v>2</v>
      </c>
      <c r="AH101" s="20">
        <f t="shared" si="38"/>
        <v>1</v>
      </c>
      <c r="AI101" s="20">
        <f t="shared" si="39"/>
        <v>1</v>
      </c>
      <c r="AJ101" s="20">
        <f t="shared" si="40"/>
        <v>6</v>
      </c>
      <c r="AK101" s="20" t="str">
        <f t="shared" si="41"/>
        <v>Normal</v>
      </c>
      <c r="AL101" s="20" t="str">
        <f t="shared" si="42"/>
        <v>Normal</v>
      </c>
      <c r="AM101" s="20" t="str">
        <f t="shared" si="43"/>
        <v>Normal</v>
      </c>
      <c r="AN101" s="20" t="str">
        <f t="shared" si="44"/>
        <v>Normal</v>
      </c>
      <c r="AO101" s="20" t="str">
        <f t="shared" si="45"/>
        <v>Normal</v>
      </c>
      <c r="AP101" s="20">
        <f t="shared" si="34"/>
        <v>4</v>
      </c>
      <c r="AQ101" s="20" t="str">
        <f t="shared" si="35"/>
        <v>Normal</v>
      </c>
    </row>
    <row r="102" spans="1:43" x14ac:dyDescent="0.3">
      <c r="A102" s="19" t="str">
        <f>Responses!A102</f>
        <v>9N9zMZ1</v>
      </c>
      <c r="B102" s="19" t="str">
        <f>Responses!B102</f>
        <v>ja0dbxY</v>
      </c>
      <c r="C102" s="19">
        <f>Responses!C102</f>
        <v>46136.126828703702</v>
      </c>
      <c r="D102" s="19" t="str">
        <f>Responses!D102</f>
        <v xml:space="preserve">Malka Geraldo Ravantino Ananto </v>
      </c>
      <c r="E102" s="19" t="str">
        <f>Responses!E102</f>
        <v>XI-4</v>
      </c>
      <c r="F102" s="19">
        <f>Responses!F102</f>
        <v>17</v>
      </c>
      <c r="G102" s="8">
        <f>IF(Responses!G102="","",IF(Responses!G102="Benar",2,IF(Responses!G102="Agak Benar",1,0)))</f>
        <v>2</v>
      </c>
      <c r="H102" s="8">
        <f>IF(Responses!H102="","",IF(Responses!H102="Benar",2,IF(Responses!H102="Agak Benar",1,0)))</f>
        <v>0</v>
      </c>
      <c r="I102" s="8">
        <f>IF(Responses!I102="","",IF(Responses!I102="Benar",2,IF(Responses!I102="Agak Benar",1,0)))</f>
        <v>0</v>
      </c>
      <c r="J102" s="8">
        <f>IF(Responses!J102="","",IF(Responses!J102="Benar",2,IF(Responses!J102="Agak Benar",1,0)))</f>
        <v>2</v>
      </c>
      <c r="K102" s="8">
        <f>IF(Responses!K102="","",IF(Responses!K102="Benar",2,IF(Responses!K102="Agak Benar",1,0)))</f>
        <v>0</v>
      </c>
      <c r="L102" s="8">
        <f>IF(Responses!L102="","",IF(Responses!L102="Benar",2,IF(Responses!L102="Agak Benar",1,0)))</f>
        <v>0</v>
      </c>
      <c r="M102" s="8">
        <f>IF(Responses!M102="","",IF(Responses!M102="Tidak Benar",2,IF(Responses!M102="Agak Benar",1,0)))</f>
        <v>0</v>
      </c>
      <c r="N102" s="8">
        <f>IF(Responses!N102="","",IF(Responses!N102="Benar",2,IF(Responses!N102="Agak Benar",1,0)))</f>
        <v>0</v>
      </c>
      <c r="O102" s="8">
        <f>IF(Responses!O102="","",IF(Responses!O102="Benar",2,IF(Responses!O102="Agak Benar",1,0)))</f>
        <v>2</v>
      </c>
      <c r="P102" s="8">
        <f>IF(Responses!P102="","",IF(Responses!P102="Benar",2,IF(Responses!P102="Agak Benar",1,0)))</f>
        <v>0</v>
      </c>
      <c r="Q102" s="8">
        <f>IF(Responses!Q102="","",IF(Responses!Q102="Tidak Benar",2,IF(Responses!Q102="Agak Benar",1,0)))</f>
        <v>0</v>
      </c>
      <c r="R102" s="8">
        <f>IF(Responses!R102="","",IF(Responses!R102="Benar",2,IF(Responses!R102="Agak Benar",1,0)))</f>
        <v>0</v>
      </c>
      <c r="S102" s="8">
        <f>IF(Responses!S102="","",IF(Responses!S102="Benar",2,IF(Responses!S102="Agak Benar",1,0)))</f>
        <v>0</v>
      </c>
      <c r="T102" s="8">
        <f>IF(Responses!T102="","",IF(Responses!T102="Tidak Benar",2,IF(Responses!T102="Agak Benar",1,0)))</f>
        <v>0</v>
      </c>
      <c r="U102" s="8">
        <f>IF(Responses!U102="","",IF(Responses!U102="Benar",2,IF(Responses!U102="Agak Benar",1,0)))</f>
        <v>0</v>
      </c>
      <c r="V102" s="8">
        <f>IF(Responses!V102="","",IF(Responses!V102="Benar",2,IF(Responses!V102="Agak Benar",1,0)))</f>
        <v>0</v>
      </c>
      <c r="W102" s="8">
        <f>IF(Responses!W102="","",IF(Responses!W102="Benar",2,IF(Responses!W102="Agak Benar",1,0)))</f>
        <v>2</v>
      </c>
      <c r="X102" s="8">
        <f>IF(Responses!X102="","",IF(Responses!X102="Benar",2,IF(Responses!X102="Agak Benar",1,0)))</f>
        <v>0</v>
      </c>
      <c r="Y102" s="8">
        <f>IF(Responses!Y102="","",IF(Responses!Y102="Benar",2,IF(Responses!Y102="Agak Benar",1,0)))</f>
        <v>0</v>
      </c>
      <c r="Z102" s="8">
        <f>IF(Responses!Z102="","",IF(Responses!Z102="Benar",2,IF(Responses!Z102="Agak Benar",1,0)))</f>
        <v>2</v>
      </c>
      <c r="AA102" s="8">
        <f>IF(Responses!AA102="","",IF(Responses!AA102="Tidak Benar",2,IF(Responses!AA102="Agak Benar",1,0)))</f>
        <v>0</v>
      </c>
      <c r="AB102" s="8">
        <f>IF(Responses!AB102="","",IF(Responses!AB102="Benar",2,IF(Responses!AB102="Agak Benar",1,0)))</f>
        <v>0</v>
      </c>
      <c r="AC102" s="8">
        <f>IF(Responses!AC102="","",IF(Responses!AC102="Benar",2,IF(Responses!AC102="Agak Benar",1,0)))</f>
        <v>2</v>
      </c>
      <c r="AD102" s="8">
        <f>IF(Responses!AD102="","",IF(Responses!AD102="Benar",2,IF(Responses!AD102="Agak Benar",1,0)))</f>
        <v>0</v>
      </c>
      <c r="AE102" s="8">
        <f>IF(Responses!AE102="","",IF(Responses!AE102="Tidak Benar",2,IF(Responses!AE102="Agak Benar",1,0)))</f>
        <v>0</v>
      </c>
      <c r="AF102" s="20">
        <f t="shared" si="36"/>
        <v>0</v>
      </c>
      <c r="AG102" s="20">
        <f t="shared" si="37"/>
        <v>0</v>
      </c>
      <c r="AH102" s="20">
        <f t="shared" si="38"/>
        <v>0</v>
      </c>
      <c r="AI102" s="20">
        <f t="shared" si="39"/>
        <v>2</v>
      </c>
      <c r="AJ102" s="20">
        <f t="shared" si="40"/>
        <v>10</v>
      </c>
      <c r="AK102" s="20" t="str">
        <f t="shared" si="41"/>
        <v>Normal</v>
      </c>
      <c r="AL102" s="20" t="str">
        <f t="shared" si="42"/>
        <v>Normal</v>
      </c>
      <c r="AM102" s="20" t="str">
        <f t="shared" si="43"/>
        <v>Normal</v>
      </c>
      <c r="AN102" s="20" t="str">
        <f t="shared" si="44"/>
        <v>Normal</v>
      </c>
      <c r="AO102" s="20" t="str">
        <f t="shared" si="45"/>
        <v>Normal</v>
      </c>
      <c r="AP102" s="20">
        <f t="shared" si="34"/>
        <v>2</v>
      </c>
      <c r="AQ102" s="20" t="str">
        <f t="shared" si="35"/>
        <v>Normal</v>
      </c>
    </row>
    <row r="103" spans="1:43" x14ac:dyDescent="0.3">
      <c r="A103" s="19" t="str">
        <f>Responses!A103</f>
        <v>J1pNMZY</v>
      </c>
      <c r="B103" s="19" t="str">
        <f>Responses!B103</f>
        <v>1AbZkeL</v>
      </c>
      <c r="C103" s="19">
        <f>Responses!C103</f>
        <v>46136.126944444448</v>
      </c>
      <c r="D103" s="19" t="str">
        <f>Responses!D103</f>
        <v xml:space="preserve">Rinanda Puspita Sari Cahya Nugraha </v>
      </c>
      <c r="E103" s="19" t="str">
        <f>Responses!E103</f>
        <v>XI-4</v>
      </c>
      <c r="F103" s="19">
        <f>Responses!F103</f>
        <v>17</v>
      </c>
      <c r="G103" s="8">
        <f>IF(Responses!G103="","",IF(Responses!G103="Benar",2,IF(Responses!G103="Agak Benar",1,0)))</f>
        <v>2</v>
      </c>
      <c r="H103" s="8">
        <f>IF(Responses!H103="","",IF(Responses!H103="Benar",2,IF(Responses!H103="Agak Benar",1,0)))</f>
        <v>2</v>
      </c>
      <c r="I103" s="8">
        <f>IF(Responses!I103="","",IF(Responses!I103="Benar",2,IF(Responses!I103="Agak Benar",1,0)))</f>
        <v>2</v>
      </c>
      <c r="J103" s="8">
        <f>IF(Responses!J103="","",IF(Responses!J103="Benar",2,IF(Responses!J103="Agak Benar",1,0)))</f>
        <v>2</v>
      </c>
      <c r="K103" s="8">
        <f>IF(Responses!K103="","",IF(Responses!K103="Benar",2,IF(Responses!K103="Agak Benar",1,0)))</f>
        <v>0</v>
      </c>
      <c r="L103" s="8">
        <f>IF(Responses!L103="","",IF(Responses!L103="Benar",2,IF(Responses!L103="Agak Benar",1,0)))</f>
        <v>1</v>
      </c>
      <c r="M103" s="8">
        <f>IF(Responses!M103="","",IF(Responses!M103="Tidak Benar",2,IF(Responses!M103="Agak Benar",1,0)))</f>
        <v>2</v>
      </c>
      <c r="N103" s="8">
        <f>IF(Responses!N103="","",IF(Responses!N103="Benar",2,IF(Responses!N103="Agak Benar",1,0)))</f>
        <v>1</v>
      </c>
      <c r="O103" s="8">
        <f>IF(Responses!O103="","",IF(Responses!O103="Benar",2,IF(Responses!O103="Agak Benar",1,0)))</f>
        <v>2</v>
      </c>
      <c r="P103" s="8">
        <f>IF(Responses!P103="","",IF(Responses!P103="Benar",2,IF(Responses!P103="Agak Benar",1,0)))</f>
        <v>2</v>
      </c>
      <c r="Q103" s="8">
        <f>IF(Responses!Q103="","",IF(Responses!Q103="Tidak Benar",2,IF(Responses!Q103="Agak Benar",1,0)))</f>
        <v>0</v>
      </c>
      <c r="R103" s="8">
        <f>IF(Responses!R103="","",IF(Responses!R103="Benar",2,IF(Responses!R103="Agak Benar",1,0)))</f>
        <v>0</v>
      </c>
      <c r="S103" s="8">
        <f>IF(Responses!S103="","",IF(Responses!S103="Benar",2,IF(Responses!S103="Agak Benar",1,0)))</f>
        <v>1</v>
      </c>
      <c r="T103" s="8">
        <f>IF(Responses!T103="","",IF(Responses!T103="Tidak Benar",2,IF(Responses!T103="Agak Benar",1,0)))</f>
        <v>2</v>
      </c>
      <c r="U103" s="8">
        <f>IF(Responses!U103="","",IF(Responses!U103="Benar",2,IF(Responses!U103="Agak Benar",1,0)))</f>
        <v>0</v>
      </c>
      <c r="V103" s="8">
        <f>IF(Responses!V103="","",IF(Responses!V103="Benar",2,IF(Responses!V103="Agak Benar",1,0)))</f>
        <v>2</v>
      </c>
      <c r="W103" s="8">
        <f>IF(Responses!W103="","",IF(Responses!W103="Benar",2,IF(Responses!W103="Agak Benar",1,0)))</f>
        <v>1</v>
      </c>
      <c r="X103" s="8">
        <f>IF(Responses!X103="","",IF(Responses!X103="Benar",2,IF(Responses!X103="Agak Benar",1,0)))</f>
        <v>2</v>
      </c>
      <c r="Y103" s="8">
        <f>IF(Responses!Y103="","",IF(Responses!Y103="Benar",2,IF(Responses!Y103="Agak Benar",1,0)))</f>
        <v>0</v>
      </c>
      <c r="Z103" s="8">
        <f>IF(Responses!Z103="","",IF(Responses!Z103="Benar",2,IF(Responses!Z103="Agak Benar",1,0)))</f>
        <v>1</v>
      </c>
      <c r="AA103" s="8">
        <f>IF(Responses!AA103="","",IF(Responses!AA103="Tidak Benar",2,IF(Responses!AA103="Agak Benar",1,0)))</f>
        <v>0</v>
      </c>
      <c r="AB103" s="8">
        <f>IF(Responses!AB103="","",IF(Responses!AB103="Benar",2,IF(Responses!AB103="Agak Benar",1,0)))</f>
        <v>0</v>
      </c>
      <c r="AC103" s="8">
        <f>IF(Responses!AC103="","",IF(Responses!AC103="Benar",2,IF(Responses!AC103="Agak Benar",1,0)))</f>
        <v>2</v>
      </c>
      <c r="AD103" s="8">
        <f>IF(Responses!AD103="","",IF(Responses!AD103="Benar",2,IF(Responses!AD103="Agak Benar",1,0)))</f>
        <v>1</v>
      </c>
      <c r="AE103" s="8">
        <f>IF(Responses!AE103="","",IF(Responses!AE103="Tidak Benar",2,IF(Responses!AE103="Agak Benar",1,0)))</f>
        <v>1</v>
      </c>
      <c r="AF103" s="20">
        <f t="shared" si="36"/>
        <v>7</v>
      </c>
      <c r="AG103" s="20">
        <f t="shared" si="37"/>
        <v>4</v>
      </c>
      <c r="AH103" s="20">
        <f t="shared" si="38"/>
        <v>5</v>
      </c>
      <c r="AI103" s="20">
        <f t="shared" si="39"/>
        <v>5</v>
      </c>
      <c r="AJ103" s="20">
        <f t="shared" si="40"/>
        <v>8</v>
      </c>
      <c r="AK103" s="20" t="str">
        <f t="shared" si="41"/>
        <v>Abnormal</v>
      </c>
      <c r="AL103" s="20" t="str">
        <f t="shared" si="42"/>
        <v>Borderline</v>
      </c>
      <c r="AM103" s="20" t="str">
        <f t="shared" si="43"/>
        <v>Normal</v>
      </c>
      <c r="AN103" s="20" t="str">
        <f t="shared" si="44"/>
        <v>Borderline</v>
      </c>
      <c r="AO103" s="20" t="str">
        <f t="shared" si="45"/>
        <v>Normal</v>
      </c>
      <c r="AP103" s="20">
        <f t="shared" si="34"/>
        <v>21</v>
      </c>
      <c r="AQ103" s="20" t="str">
        <f t="shared" si="35"/>
        <v>Abnormal</v>
      </c>
    </row>
    <row r="104" spans="1:43" x14ac:dyDescent="0.3">
      <c r="A104" s="19" t="str">
        <f>Responses!A104</f>
        <v>zEyad7q</v>
      </c>
      <c r="B104" s="19" t="str">
        <f>Responses!B104</f>
        <v>rj0NaEM</v>
      </c>
      <c r="C104" s="19">
        <f>Responses!C104</f>
        <v>46136.12703703704</v>
      </c>
      <c r="D104" s="19" t="str">
        <f>Responses!D104</f>
        <v>Juanita Bintang Kastyawati</v>
      </c>
      <c r="E104" s="19" t="str">
        <f>Responses!E104</f>
        <v>XI-4</v>
      </c>
      <c r="F104" s="19">
        <f>Responses!F104</f>
        <v>17</v>
      </c>
      <c r="G104" s="8">
        <f>IF(Responses!G104="","",IF(Responses!G104="Benar",2,IF(Responses!G104="Agak Benar",1,0)))</f>
        <v>2</v>
      </c>
      <c r="H104" s="8">
        <f>IF(Responses!H104="","",IF(Responses!H104="Benar",2,IF(Responses!H104="Agak Benar",1,0)))</f>
        <v>0</v>
      </c>
      <c r="I104" s="8">
        <f>IF(Responses!I104="","",IF(Responses!I104="Benar",2,IF(Responses!I104="Agak Benar",1,0)))</f>
        <v>1</v>
      </c>
      <c r="J104" s="8">
        <f>IF(Responses!J104="","",IF(Responses!J104="Benar",2,IF(Responses!J104="Agak Benar",1,0)))</f>
        <v>2</v>
      </c>
      <c r="K104" s="8">
        <f>IF(Responses!K104="","",IF(Responses!K104="Benar",2,IF(Responses!K104="Agak Benar",1,0)))</f>
        <v>1</v>
      </c>
      <c r="L104" s="8">
        <f>IF(Responses!L104="","",IF(Responses!L104="Benar",2,IF(Responses!L104="Agak Benar",1,0)))</f>
        <v>0</v>
      </c>
      <c r="M104" s="8">
        <f>IF(Responses!M104="","",IF(Responses!M104="Tidak Benar",2,IF(Responses!M104="Agak Benar",1,0)))</f>
        <v>2</v>
      </c>
      <c r="N104" s="8">
        <f>IF(Responses!N104="","",IF(Responses!N104="Benar",2,IF(Responses!N104="Agak Benar",1,0)))</f>
        <v>1</v>
      </c>
      <c r="O104" s="8">
        <f>IF(Responses!O104="","",IF(Responses!O104="Benar",2,IF(Responses!O104="Agak Benar",1,0)))</f>
        <v>2</v>
      </c>
      <c r="P104" s="8">
        <f>IF(Responses!P104="","",IF(Responses!P104="Benar",2,IF(Responses!P104="Agak Benar",1,0)))</f>
        <v>2</v>
      </c>
      <c r="Q104" s="8">
        <f>IF(Responses!Q104="","",IF(Responses!Q104="Tidak Benar",2,IF(Responses!Q104="Agak Benar",1,0)))</f>
        <v>0</v>
      </c>
      <c r="R104" s="8">
        <f>IF(Responses!R104="","",IF(Responses!R104="Benar",2,IF(Responses!R104="Agak Benar",1,0)))</f>
        <v>1</v>
      </c>
      <c r="S104" s="8">
        <f>IF(Responses!S104="","",IF(Responses!S104="Benar",2,IF(Responses!S104="Agak Benar",1,0)))</f>
        <v>1</v>
      </c>
      <c r="T104" s="8">
        <f>IF(Responses!T104="","",IF(Responses!T104="Tidak Benar",2,IF(Responses!T104="Agak Benar",1,0)))</f>
        <v>1</v>
      </c>
      <c r="U104" s="8">
        <f>IF(Responses!U104="","",IF(Responses!U104="Benar",2,IF(Responses!U104="Agak Benar",1,0)))</f>
        <v>0</v>
      </c>
      <c r="V104" s="8">
        <f>IF(Responses!V104="","",IF(Responses!V104="Benar",2,IF(Responses!V104="Agak Benar",1,0)))</f>
        <v>0</v>
      </c>
      <c r="W104" s="8">
        <f>IF(Responses!W104="","",IF(Responses!W104="Benar",2,IF(Responses!W104="Agak Benar",1,0)))</f>
        <v>2</v>
      </c>
      <c r="X104" s="8">
        <f>IF(Responses!X104="","",IF(Responses!X104="Benar",2,IF(Responses!X104="Agak Benar",1,0)))</f>
        <v>0</v>
      </c>
      <c r="Y104" s="8">
        <f>IF(Responses!Y104="","",IF(Responses!Y104="Benar",2,IF(Responses!Y104="Agak Benar",1,0)))</f>
        <v>0</v>
      </c>
      <c r="Z104" s="8">
        <f>IF(Responses!Z104="","",IF(Responses!Z104="Benar",2,IF(Responses!Z104="Agak Benar",1,0)))</f>
        <v>2</v>
      </c>
      <c r="AA104" s="8">
        <f>IF(Responses!AA104="","",IF(Responses!AA104="Tidak Benar",2,IF(Responses!AA104="Agak Benar",1,0)))</f>
        <v>0</v>
      </c>
      <c r="AB104" s="8">
        <f>IF(Responses!AB104="","",IF(Responses!AB104="Benar",2,IF(Responses!AB104="Agak Benar",1,0)))</f>
        <v>0</v>
      </c>
      <c r="AC104" s="8">
        <f>IF(Responses!AC104="","",IF(Responses!AC104="Benar",2,IF(Responses!AC104="Agak Benar",1,0)))</f>
        <v>1</v>
      </c>
      <c r="AD104" s="8">
        <f>IF(Responses!AD104="","",IF(Responses!AD104="Benar",2,IF(Responses!AD104="Agak Benar",1,0)))</f>
        <v>0</v>
      </c>
      <c r="AE104" s="8">
        <f>IF(Responses!AE104="","",IF(Responses!AE104="Tidak Benar",2,IF(Responses!AE104="Agak Benar",1,0)))</f>
        <v>0</v>
      </c>
      <c r="AF104" s="20">
        <f t="shared" si="36"/>
        <v>3</v>
      </c>
      <c r="AG104" s="20">
        <f t="shared" si="37"/>
        <v>4</v>
      </c>
      <c r="AH104" s="20">
        <f t="shared" si="38"/>
        <v>2</v>
      </c>
      <c r="AI104" s="20">
        <f t="shared" si="39"/>
        <v>2</v>
      </c>
      <c r="AJ104" s="20">
        <f t="shared" si="40"/>
        <v>10</v>
      </c>
      <c r="AK104" s="20" t="str">
        <f t="shared" si="41"/>
        <v>Normal</v>
      </c>
      <c r="AL104" s="20" t="str">
        <f t="shared" si="42"/>
        <v>Borderline</v>
      </c>
      <c r="AM104" s="20" t="str">
        <f t="shared" si="43"/>
        <v>Normal</v>
      </c>
      <c r="AN104" s="20" t="str">
        <f t="shared" si="44"/>
        <v>Normal</v>
      </c>
      <c r="AO104" s="20" t="str">
        <f t="shared" si="45"/>
        <v>Normal</v>
      </c>
      <c r="AP104" s="20">
        <f t="shared" si="34"/>
        <v>11</v>
      </c>
      <c r="AQ104" s="20" t="str">
        <f t="shared" si="35"/>
        <v>Normal</v>
      </c>
    </row>
    <row r="105" spans="1:43" x14ac:dyDescent="0.3">
      <c r="A105" s="19" t="str">
        <f>Responses!A105</f>
        <v>RWM7jpv</v>
      </c>
      <c r="B105" s="19" t="str">
        <f>Responses!B105</f>
        <v>gDQyqbM</v>
      </c>
      <c r="C105" s="19">
        <f>Responses!C105</f>
        <v>46136.127199074072</v>
      </c>
      <c r="D105" s="19" t="str">
        <f>Responses!D105</f>
        <v>Fajar Afghan Rahmadhani</v>
      </c>
      <c r="E105" s="19" t="str">
        <f>Responses!E105</f>
        <v>XI-4</v>
      </c>
      <c r="F105" s="19">
        <f>Responses!F105</f>
        <v>17</v>
      </c>
      <c r="G105" s="8">
        <f>IF(Responses!G105="","",IF(Responses!G105="Benar",2,IF(Responses!G105="Agak Benar",1,0)))</f>
        <v>2</v>
      </c>
      <c r="H105" s="8">
        <f>IF(Responses!H105="","",IF(Responses!H105="Benar",2,IF(Responses!H105="Agak Benar",1,0)))</f>
        <v>0</v>
      </c>
      <c r="I105" s="8">
        <f>IF(Responses!I105="","",IF(Responses!I105="Benar",2,IF(Responses!I105="Agak Benar",1,0)))</f>
        <v>0</v>
      </c>
      <c r="J105" s="8">
        <f>IF(Responses!J105="","",IF(Responses!J105="Benar",2,IF(Responses!J105="Agak Benar",1,0)))</f>
        <v>2</v>
      </c>
      <c r="K105" s="8">
        <f>IF(Responses!K105="","",IF(Responses!K105="Benar",2,IF(Responses!K105="Agak Benar",1,0)))</f>
        <v>0</v>
      </c>
      <c r="L105" s="8">
        <f>IF(Responses!L105="","",IF(Responses!L105="Benar",2,IF(Responses!L105="Agak Benar",1,0)))</f>
        <v>0</v>
      </c>
      <c r="M105" s="8">
        <f>IF(Responses!M105="","",IF(Responses!M105="Tidak Benar",2,IF(Responses!M105="Agak Benar",1,0)))</f>
        <v>0</v>
      </c>
      <c r="N105" s="8">
        <f>IF(Responses!N105="","",IF(Responses!N105="Benar",2,IF(Responses!N105="Agak Benar",1,0)))</f>
        <v>0</v>
      </c>
      <c r="O105" s="8">
        <f>IF(Responses!O105="","",IF(Responses!O105="Benar",2,IF(Responses!O105="Agak Benar",1,0)))</f>
        <v>1</v>
      </c>
      <c r="P105" s="8">
        <f>IF(Responses!P105="","",IF(Responses!P105="Benar",2,IF(Responses!P105="Agak Benar",1,0)))</f>
        <v>1</v>
      </c>
      <c r="Q105" s="8">
        <f>IF(Responses!Q105="","",IF(Responses!Q105="Tidak Benar",2,IF(Responses!Q105="Agak Benar",1,0)))</f>
        <v>1</v>
      </c>
      <c r="R105" s="8">
        <f>IF(Responses!R105="","",IF(Responses!R105="Benar",2,IF(Responses!R105="Agak Benar",1,0)))</f>
        <v>0</v>
      </c>
      <c r="S105" s="8">
        <f>IF(Responses!S105="","",IF(Responses!S105="Benar",2,IF(Responses!S105="Agak Benar",1,0)))</f>
        <v>0</v>
      </c>
      <c r="T105" s="8">
        <f>IF(Responses!T105="","",IF(Responses!T105="Tidak Benar",2,IF(Responses!T105="Agak Benar",1,0)))</f>
        <v>2</v>
      </c>
      <c r="U105" s="8">
        <f>IF(Responses!U105="","",IF(Responses!U105="Benar",2,IF(Responses!U105="Agak Benar",1,0)))</f>
        <v>1</v>
      </c>
      <c r="V105" s="8">
        <f>IF(Responses!V105="","",IF(Responses!V105="Benar",2,IF(Responses!V105="Agak Benar",1,0)))</f>
        <v>1</v>
      </c>
      <c r="W105" s="8">
        <f>IF(Responses!W105="","",IF(Responses!W105="Benar",2,IF(Responses!W105="Agak Benar",1,0)))</f>
        <v>1</v>
      </c>
      <c r="X105" s="8">
        <f>IF(Responses!X105="","",IF(Responses!X105="Benar",2,IF(Responses!X105="Agak Benar",1,0)))</f>
        <v>0</v>
      </c>
      <c r="Y105" s="8">
        <f>IF(Responses!Y105="","",IF(Responses!Y105="Benar",2,IF(Responses!Y105="Agak Benar",1,0)))</f>
        <v>0</v>
      </c>
      <c r="Z105" s="8">
        <f>IF(Responses!Z105="","",IF(Responses!Z105="Benar",2,IF(Responses!Z105="Agak Benar",1,0)))</f>
        <v>1</v>
      </c>
      <c r="AA105" s="8">
        <f>IF(Responses!AA105="","",IF(Responses!AA105="Tidak Benar",2,IF(Responses!AA105="Agak Benar",1,0)))</f>
        <v>1</v>
      </c>
      <c r="AB105" s="8">
        <f>IF(Responses!AB105="","",IF(Responses!AB105="Benar",2,IF(Responses!AB105="Agak Benar",1,0)))</f>
        <v>0</v>
      </c>
      <c r="AC105" s="8">
        <f>IF(Responses!AC105="","",IF(Responses!AC105="Benar",2,IF(Responses!AC105="Agak Benar",1,0)))</f>
        <v>0</v>
      </c>
      <c r="AD105" s="8">
        <f>IF(Responses!AD105="","",IF(Responses!AD105="Benar",2,IF(Responses!AD105="Agak Benar",1,0)))</f>
        <v>0</v>
      </c>
      <c r="AE105" s="8">
        <f>IF(Responses!AE105="","",IF(Responses!AE105="Tidak Benar",2,IF(Responses!AE105="Agak Benar",1,0)))</f>
        <v>0</v>
      </c>
      <c r="AF105" s="20">
        <f t="shared" si="36"/>
        <v>1</v>
      </c>
      <c r="AG105" s="20">
        <f t="shared" si="37"/>
        <v>0</v>
      </c>
      <c r="AH105" s="20">
        <f t="shared" si="38"/>
        <v>3</v>
      </c>
      <c r="AI105" s="20">
        <f t="shared" si="39"/>
        <v>3</v>
      </c>
      <c r="AJ105" s="20">
        <f t="shared" si="40"/>
        <v>7</v>
      </c>
      <c r="AK105" s="20" t="str">
        <f t="shared" si="41"/>
        <v>Normal</v>
      </c>
      <c r="AL105" s="20" t="str">
        <f t="shared" si="42"/>
        <v>Normal</v>
      </c>
      <c r="AM105" s="20" t="str">
        <f t="shared" si="43"/>
        <v>Normal</v>
      </c>
      <c r="AN105" s="20" t="str">
        <f t="shared" si="44"/>
        <v>Normal</v>
      </c>
      <c r="AO105" s="20" t="str">
        <f t="shared" si="45"/>
        <v>Normal</v>
      </c>
      <c r="AP105" s="20">
        <f t="shared" si="34"/>
        <v>7</v>
      </c>
      <c r="AQ105" s="20" t="str">
        <f t="shared" si="35"/>
        <v>Normal</v>
      </c>
    </row>
    <row r="106" spans="1:43" x14ac:dyDescent="0.3">
      <c r="A106" s="19" t="str">
        <f>Responses!A106</f>
        <v>kbeVzDZ</v>
      </c>
      <c r="B106" s="19" t="str">
        <f>Responses!B106</f>
        <v>rj0NOBX</v>
      </c>
      <c r="C106" s="19">
        <f>Responses!C106</f>
        <v>46136.127210648148</v>
      </c>
      <c r="D106" s="19" t="str">
        <f>Responses!D106</f>
        <v>Muhammad Syabil Arkan</v>
      </c>
      <c r="E106" s="19" t="str">
        <f>Responses!E106</f>
        <v>XI-4</v>
      </c>
      <c r="F106" s="19">
        <f>Responses!F106</f>
        <v>17</v>
      </c>
      <c r="G106" s="8">
        <f>IF(Responses!G106="","",IF(Responses!G106="Benar",2,IF(Responses!G106="Agak Benar",1,0)))</f>
        <v>2</v>
      </c>
      <c r="H106" s="8">
        <f>IF(Responses!H106="","",IF(Responses!H106="Benar",2,IF(Responses!H106="Agak Benar",1,0)))</f>
        <v>0</v>
      </c>
      <c r="I106" s="8">
        <f>IF(Responses!I106="","",IF(Responses!I106="Benar",2,IF(Responses!I106="Agak Benar",1,0)))</f>
        <v>0</v>
      </c>
      <c r="J106" s="8">
        <f>IF(Responses!J106="","",IF(Responses!J106="Benar",2,IF(Responses!J106="Agak Benar",1,0)))</f>
        <v>0</v>
      </c>
      <c r="K106" s="8">
        <f>IF(Responses!K106="","",IF(Responses!K106="Benar",2,IF(Responses!K106="Agak Benar",1,0)))</f>
        <v>0</v>
      </c>
      <c r="L106" s="8">
        <f>IF(Responses!L106="","",IF(Responses!L106="Benar",2,IF(Responses!L106="Agak Benar",1,0)))</f>
        <v>0</v>
      </c>
      <c r="M106" s="8">
        <f>IF(Responses!M106="","",IF(Responses!M106="Tidak Benar",2,IF(Responses!M106="Agak Benar",1,0)))</f>
        <v>2</v>
      </c>
      <c r="N106" s="8">
        <f>IF(Responses!N106="","",IF(Responses!N106="Benar",2,IF(Responses!N106="Agak Benar",1,0)))</f>
        <v>0</v>
      </c>
      <c r="O106" s="8">
        <f>IF(Responses!O106="","",IF(Responses!O106="Benar",2,IF(Responses!O106="Agak Benar",1,0)))</f>
        <v>2</v>
      </c>
      <c r="P106" s="8">
        <f>IF(Responses!P106="","",IF(Responses!P106="Benar",2,IF(Responses!P106="Agak Benar",1,0)))</f>
        <v>0</v>
      </c>
      <c r="Q106" s="8">
        <f>IF(Responses!Q106="","",IF(Responses!Q106="Tidak Benar",2,IF(Responses!Q106="Agak Benar",1,0)))</f>
        <v>0</v>
      </c>
      <c r="R106" s="8">
        <f>IF(Responses!R106="","",IF(Responses!R106="Benar",2,IF(Responses!R106="Agak Benar",1,0)))</f>
        <v>0</v>
      </c>
      <c r="S106" s="8">
        <f>IF(Responses!S106="","",IF(Responses!S106="Benar",2,IF(Responses!S106="Agak Benar",1,0)))</f>
        <v>0</v>
      </c>
      <c r="T106" s="8">
        <f>IF(Responses!T106="","",IF(Responses!T106="Tidak Benar",2,IF(Responses!T106="Agak Benar",1,0)))</f>
        <v>2</v>
      </c>
      <c r="U106" s="8">
        <f>IF(Responses!U106="","",IF(Responses!U106="Benar",2,IF(Responses!U106="Agak Benar",1,0)))</f>
        <v>0</v>
      </c>
      <c r="V106" s="8">
        <f>IF(Responses!V106="","",IF(Responses!V106="Benar",2,IF(Responses!V106="Agak Benar",1,0)))</f>
        <v>0</v>
      </c>
      <c r="W106" s="8">
        <f>IF(Responses!W106="","",IF(Responses!W106="Benar",2,IF(Responses!W106="Agak Benar",1,0)))</f>
        <v>1</v>
      </c>
      <c r="X106" s="8">
        <f>IF(Responses!X106="","",IF(Responses!X106="Benar",2,IF(Responses!X106="Agak Benar",1,0)))</f>
        <v>0</v>
      </c>
      <c r="Y106" s="8">
        <f>IF(Responses!Y106="","",IF(Responses!Y106="Benar",2,IF(Responses!Y106="Agak Benar",1,0)))</f>
        <v>0</v>
      </c>
      <c r="Z106" s="8">
        <f>IF(Responses!Z106="","",IF(Responses!Z106="Benar",2,IF(Responses!Z106="Agak Benar",1,0)))</f>
        <v>1</v>
      </c>
      <c r="AA106" s="8">
        <f>IF(Responses!AA106="","",IF(Responses!AA106="Tidak Benar",2,IF(Responses!AA106="Agak Benar",1,0)))</f>
        <v>0</v>
      </c>
      <c r="AB106" s="8">
        <f>IF(Responses!AB106="","",IF(Responses!AB106="Benar",2,IF(Responses!AB106="Agak Benar",1,0)))</f>
        <v>0</v>
      </c>
      <c r="AC106" s="8">
        <f>IF(Responses!AC106="","",IF(Responses!AC106="Benar",2,IF(Responses!AC106="Agak Benar",1,0)))</f>
        <v>0</v>
      </c>
      <c r="AD106" s="8">
        <f>IF(Responses!AD106="","",IF(Responses!AD106="Benar",2,IF(Responses!AD106="Agak Benar",1,0)))</f>
        <v>0</v>
      </c>
      <c r="AE106" s="8">
        <f>IF(Responses!AE106="","",IF(Responses!AE106="Tidak Benar",2,IF(Responses!AE106="Agak Benar",1,0)))</f>
        <v>0</v>
      </c>
      <c r="AF106" s="20">
        <f t="shared" si="36"/>
        <v>0</v>
      </c>
      <c r="AG106" s="20">
        <f t="shared" si="37"/>
        <v>2</v>
      </c>
      <c r="AH106" s="20">
        <f t="shared" si="38"/>
        <v>0</v>
      </c>
      <c r="AI106" s="20">
        <f t="shared" si="39"/>
        <v>2</v>
      </c>
      <c r="AJ106" s="20">
        <f t="shared" si="40"/>
        <v>6</v>
      </c>
      <c r="AK106" s="20" t="str">
        <f t="shared" si="41"/>
        <v>Normal</v>
      </c>
      <c r="AL106" s="20" t="str">
        <f t="shared" si="42"/>
        <v>Normal</v>
      </c>
      <c r="AM106" s="20" t="str">
        <f t="shared" si="43"/>
        <v>Normal</v>
      </c>
      <c r="AN106" s="20" t="str">
        <f t="shared" si="44"/>
        <v>Normal</v>
      </c>
      <c r="AO106" s="20" t="str">
        <f t="shared" si="45"/>
        <v>Normal</v>
      </c>
      <c r="AP106" s="20">
        <f t="shared" si="34"/>
        <v>4</v>
      </c>
      <c r="AQ106" s="20" t="str">
        <f t="shared" si="35"/>
        <v>Normal</v>
      </c>
    </row>
    <row r="107" spans="1:43" x14ac:dyDescent="0.3">
      <c r="A107" s="19" t="str">
        <f>Responses!A107</f>
        <v>zEyab70</v>
      </c>
      <c r="B107" s="19" t="str">
        <f>Responses!B107</f>
        <v>Y5oEGOB</v>
      </c>
      <c r="C107" s="19">
        <f>Responses!C107</f>
        <v>46136.127245370371</v>
      </c>
      <c r="D107" s="19" t="str">
        <f>Responses!D107</f>
        <v>Amanda Faaizah</v>
      </c>
      <c r="E107" s="19" t="str">
        <f>Responses!E107</f>
        <v>XI-4</v>
      </c>
      <c r="F107" s="19">
        <f>Responses!F107</f>
        <v>18</v>
      </c>
      <c r="G107" s="8">
        <f>IF(Responses!G107="","",IF(Responses!G107="Benar",2,IF(Responses!G107="Agak Benar",1,0)))</f>
        <v>2</v>
      </c>
      <c r="H107" s="8">
        <f>IF(Responses!H107="","",IF(Responses!H107="Benar",2,IF(Responses!H107="Agak Benar",1,0)))</f>
        <v>0</v>
      </c>
      <c r="I107" s="8">
        <f>IF(Responses!I107="","",IF(Responses!I107="Benar",2,IF(Responses!I107="Agak Benar",1,0)))</f>
        <v>0</v>
      </c>
      <c r="J107" s="8">
        <f>IF(Responses!J107="","",IF(Responses!J107="Benar",2,IF(Responses!J107="Agak Benar",1,0)))</f>
        <v>2</v>
      </c>
      <c r="K107" s="8">
        <f>IF(Responses!K107="","",IF(Responses!K107="Benar",2,IF(Responses!K107="Agak Benar",1,0)))</f>
        <v>0</v>
      </c>
      <c r="L107" s="8">
        <f>IF(Responses!L107="","",IF(Responses!L107="Benar",2,IF(Responses!L107="Agak Benar",1,0)))</f>
        <v>0</v>
      </c>
      <c r="M107" s="8">
        <f>IF(Responses!M107="","",IF(Responses!M107="Tidak Benar",2,IF(Responses!M107="Agak Benar",1,0)))</f>
        <v>1</v>
      </c>
      <c r="N107" s="8">
        <f>IF(Responses!N107="","",IF(Responses!N107="Benar",2,IF(Responses!N107="Agak Benar",1,0)))</f>
        <v>0</v>
      </c>
      <c r="O107" s="8">
        <f>IF(Responses!O107="","",IF(Responses!O107="Benar",2,IF(Responses!O107="Agak Benar",1,0)))</f>
        <v>1</v>
      </c>
      <c r="P107" s="8">
        <f>IF(Responses!P107="","",IF(Responses!P107="Benar",2,IF(Responses!P107="Agak Benar",1,0)))</f>
        <v>0</v>
      </c>
      <c r="Q107" s="8">
        <f>IF(Responses!Q107="","",IF(Responses!Q107="Tidak Benar",2,IF(Responses!Q107="Agak Benar",1,0)))</f>
        <v>0</v>
      </c>
      <c r="R107" s="8">
        <f>IF(Responses!R107="","",IF(Responses!R107="Benar",2,IF(Responses!R107="Agak Benar",1,0)))</f>
        <v>0</v>
      </c>
      <c r="S107" s="8">
        <f>IF(Responses!S107="","",IF(Responses!S107="Benar",2,IF(Responses!S107="Agak Benar",1,0)))</f>
        <v>0</v>
      </c>
      <c r="T107" s="8">
        <f>IF(Responses!T107="","",IF(Responses!T107="Tidak Benar",2,IF(Responses!T107="Agak Benar",1,0)))</f>
        <v>0</v>
      </c>
      <c r="U107" s="8">
        <f>IF(Responses!U107="","",IF(Responses!U107="Benar",2,IF(Responses!U107="Agak Benar",1,0)))</f>
        <v>1</v>
      </c>
      <c r="V107" s="8">
        <f>IF(Responses!V107="","",IF(Responses!V107="Benar",2,IF(Responses!V107="Agak Benar",1,0)))</f>
        <v>1</v>
      </c>
      <c r="W107" s="8">
        <f>IF(Responses!W107="","",IF(Responses!W107="Benar",2,IF(Responses!W107="Agak Benar",1,0)))</f>
        <v>1</v>
      </c>
      <c r="X107" s="8">
        <f>IF(Responses!X107="","",IF(Responses!X107="Benar",2,IF(Responses!X107="Agak Benar",1,0)))</f>
        <v>0</v>
      </c>
      <c r="Y107" s="8">
        <f>IF(Responses!Y107="","",IF(Responses!Y107="Benar",2,IF(Responses!Y107="Agak Benar",1,0)))</f>
        <v>0</v>
      </c>
      <c r="Z107" s="8">
        <f>IF(Responses!Z107="","",IF(Responses!Z107="Benar",2,IF(Responses!Z107="Agak Benar",1,0)))</f>
        <v>2</v>
      </c>
      <c r="AA107" s="8">
        <f>IF(Responses!AA107="","",IF(Responses!AA107="Tidak Benar",2,IF(Responses!AA107="Agak Benar",1,0)))</f>
        <v>0</v>
      </c>
      <c r="AB107" s="8">
        <f>IF(Responses!AB107="","",IF(Responses!AB107="Benar",2,IF(Responses!AB107="Agak Benar",1,0)))</f>
        <v>0</v>
      </c>
      <c r="AC107" s="8">
        <f>IF(Responses!AC107="","",IF(Responses!AC107="Benar",2,IF(Responses!AC107="Agak Benar",1,0)))</f>
        <v>1</v>
      </c>
      <c r="AD107" s="8">
        <f>IF(Responses!AD107="","",IF(Responses!AD107="Benar",2,IF(Responses!AD107="Agak Benar",1,0)))</f>
        <v>0</v>
      </c>
      <c r="AE107" s="8">
        <f>IF(Responses!AE107="","",IF(Responses!AE107="Tidak Benar",2,IF(Responses!AE107="Agak Benar",1,0)))</f>
        <v>0</v>
      </c>
      <c r="AF107" s="20">
        <f t="shared" si="36"/>
        <v>1</v>
      </c>
      <c r="AG107" s="20">
        <f t="shared" si="37"/>
        <v>1</v>
      </c>
      <c r="AH107" s="20">
        <f t="shared" si="38"/>
        <v>1</v>
      </c>
      <c r="AI107" s="20">
        <f t="shared" si="39"/>
        <v>1</v>
      </c>
      <c r="AJ107" s="20">
        <f t="shared" si="40"/>
        <v>8</v>
      </c>
      <c r="AK107" s="20" t="str">
        <f t="shared" si="41"/>
        <v>Normal</v>
      </c>
      <c r="AL107" s="20" t="str">
        <f t="shared" si="42"/>
        <v>Normal</v>
      </c>
      <c r="AM107" s="20" t="str">
        <f t="shared" si="43"/>
        <v>Normal</v>
      </c>
      <c r="AN107" s="20" t="str">
        <f t="shared" si="44"/>
        <v>Normal</v>
      </c>
      <c r="AO107" s="20" t="str">
        <f t="shared" si="45"/>
        <v>Normal</v>
      </c>
      <c r="AP107" s="20">
        <f t="shared" si="34"/>
        <v>4</v>
      </c>
      <c r="AQ107" s="20" t="str">
        <f t="shared" si="35"/>
        <v>Normal</v>
      </c>
    </row>
    <row r="108" spans="1:43" x14ac:dyDescent="0.3">
      <c r="A108" s="19" t="str">
        <f>Responses!A108</f>
        <v>xVMegav</v>
      </c>
      <c r="B108" s="19" t="str">
        <f>Responses!B108</f>
        <v>b52BWO1</v>
      </c>
      <c r="C108" s="19">
        <f>Responses!C108</f>
        <v>46136.127476851849</v>
      </c>
      <c r="D108" s="19" t="str">
        <f>Responses!D108</f>
        <v>Muhammad Chandra Afrianto</v>
      </c>
      <c r="E108" s="19" t="str">
        <f>Responses!E108</f>
        <v>XI-4</v>
      </c>
      <c r="F108" s="19">
        <f>Responses!F108</f>
        <v>17</v>
      </c>
      <c r="G108" s="8">
        <f>IF(Responses!G108="","",IF(Responses!G108="Benar",2,IF(Responses!G108="Agak Benar",1,0)))</f>
        <v>2</v>
      </c>
      <c r="H108" s="8">
        <f>IF(Responses!H108="","",IF(Responses!H108="Benar",2,IF(Responses!H108="Agak Benar",1,0)))</f>
        <v>1</v>
      </c>
      <c r="I108" s="8">
        <f>IF(Responses!I108="","",IF(Responses!I108="Benar",2,IF(Responses!I108="Agak Benar",1,0)))</f>
        <v>0</v>
      </c>
      <c r="J108" s="8">
        <f>IF(Responses!J108="","",IF(Responses!J108="Benar",2,IF(Responses!J108="Agak Benar",1,0)))</f>
        <v>2</v>
      </c>
      <c r="K108" s="8">
        <f>IF(Responses!K108="","",IF(Responses!K108="Benar",2,IF(Responses!K108="Agak Benar",1,0)))</f>
        <v>0</v>
      </c>
      <c r="L108" s="8">
        <f>IF(Responses!L108="","",IF(Responses!L108="Benar",2,IF(Responses!L108="Agak Benar",1,0)))</f>
        <v>0</v>
      </c>
      <c r="M108" s="8">
        <f>IF(Responses!M108="","",IF(Responses!M108="Tidak Benar",2,IF(Responses!M108="Agak Benar",1,0)))</f>
        <v>2</v>
      </c>
      <c r="N108" s="8">
        <f>IF(Responses!N108="","",IF(Responses!N108="Benar",2,IF(Responses!N108="Agak Benar",1,0)))</f>
        <v>0</v>
      </c>
      <c r="O108" s="8">
        <f>IF(Responses!O108="","",IF(Responses!O108="Benar",2,IF(Responses!O108="Agak Benar",1,0)))</f>
        <v>1</v>
      </c>
      <c r="P108" s="8">
        <f>IF(Responses!P108="","",IF(Responses!P108="Benar",2,IF(Responses!P108="Agak Benar",1,0)))</f>
        <v>0</v>
      </c>
      <c r="Q108" s="8">
        <f>IF(Responses!Q108="","",IF(Responses!Q108="Tidak Benar",2,IF(Responses!Q108="Agak Benar",1,0)))</f>
        <v>0</v>
      </c>
      <c r="R108" s="8">
        <f>IF(Responses!R108="","",IF(Responses!R108="Benar",2,IF(Responses!R108="Agak Benar",1,0)))</f>
        <v>0</v>
      </c>
      <c r="S108" s="8">
        <f>IF(Responses!S108="","",IF(Responses!S108="Benar",2,IF(Responses!S108="Agak Benar",1,0)))</f>
        <v>0</v>
      </c>
      <c r="T108" s="8">
        <f>IF(Responses!T108="","",IF(Responses!T108="Tidak Benar",2,IF(Responses!T108="Agak Benar",1,0)))</f>
        <v>2</v>
      </c>
      <c r="U108" s="8">
        <f>IF(Responses!U108="","",IF(Responses!U108="Benar",2,IF(Responses!U108="Agak Benar",1,0)))</f>
        <v>0</v>
      </c>
      <c r="V108" s="8">
        <f>IF(Responses!V108="","",IF(Responses!V108="Benar",2,IF(Responses!V108="Agak Benar",1,0)))</f>
        <v>1</v>
      </c>
      <c r="W108" s="8">
        <f>IF(Responses!W108="","",IF(Responses!W108="Benar",2,IF(Responses!W108="Agak Benar",1,0)))</f>
        <v>2</v>
      </c>
      <c r="X108" s="8">
        <f>IF(Responses!X108="","",IF(Responses!X108="Benar",2,IF(Responses!X108="Agak Benar",1,0)))</f>
        <v>0</v>
      </c>
      <c r="Y108" s="8">
        <f>IF(Responses!Y108="","",IF(Responses!Y108="Benar",2,IF(Responses!Y108="Agak Benar",1,0)))</f>
        <v>0</v>
      </c>
      <c r="Z108" s="8">
        <f>IF(Responses!Z108="","",IF(Responses!Z108="Benar",2,IF(Responses!Z108="Agak Benar",1,0)))</f>
        <v>1</v>
      </c>
      <c r="AA108" s="8">
        <f>IF(Responses!AA108="","",IF(Responses!AA108="Tidak Benar",2,IF(Responses!AA108="Agak Benar",1,0)))</f>
        <v>0</v>
      </c>
      <c r="AB108" s="8">
        <f>IF(Responses!AB108="","",IF(Responses!AB108="Benar",2,IF(Responses!AB108="Agak Benar",1,0)))</f>
        <v>0</v>
      </c>
      <c r="AC108" s="8">
        <f>IF(Responses!AC108="","",IF(Responses!AC108="Benar",2,IF(Responses!AC108="Agak Benar",1,0)))</f>
        <v>0</v>
      </c>
      <c r="AD108" s="8">
        <f>IF(Responses!AD108="","",IF(Responses!AD108="Benar",2,IF(Responses!AD108="Agak Benar",1,0)))</f>
        <v>1</v>
      </c>
      <c r="AE108" s="8">
        <f>IF(Responses!AE108="","",IF(Responses!AE108="Tidak Benar",2,IF(Responses!AE108="Agak Benar",1,0)))</f>
        <v>1</v>
      </c>
      <c r="AF108" s="20">
        <f t="shared" si="36"/>
        <v>2</v>
      </c>
      <c r="AG108" s="20">
        <f t="shared" si="37"/>
        <v>2</v>
      </c>
      <c r="AH108" s="20">
        <f t="shared" si="38"/>
        <v>2</v>
      </c>
      <c r="AI108" s="20">
        <f t="shared" si="39"/>
        <v>2</v>
      </c>
      <c r="AJ108" s="20">
        <f t="shared" si="40"/>
        <v>8</v>
      </c>
      <c r="AK108" s="20" t="str">
        <f t="shared" si="41"/>
        <v>Normal</v>
      </c>
      <c r="AL108" s="20" t="str">
        <f t="shared" si="42"/>
        <v>Normal</v>
      </c>
      <c r="AM108" s="20" t="str">
        <f t="shared" si="43"/>
        <v>Normal</v>
      </c>
      <c r="AN108" s="20" t="str">
        <f t="shared" si="44"/>
        <v>Normal</v>
      </c>
      <c r="AO108" s="20" t="str">
        <f t="shared" si="45"/>
        <v>Normal</v>
      </c>
      <c r="AP108" s="20">
        <f t="shared" si="34"/>
        <v>8</v>
      </c>
      <c r="AQ108" s="20" t="str">
        <f t="shared" si="35"/>
        <v>Normal</v>
      </c>
    </row>
    <row r="109" spans="1:43" x14ac:dyDescent="0.3">
      <c r="A109" s="19" t="str">
        <f>Responses!A109</f>
        <v>X5JK9Xg</v>
      </c>
      <c r="B109" s="19" t="str">
        <f>Responses!B109</f>
        <v>rj0NoNN</v>
      </c>
      <c r="C109" s="19">
        <f>Responses!C109</f>
        <v>46136.127627314818</v>
      </c>
      <c r="D109" s="19" t="str">
        <f>Responses!D109</f>
        <v>Muhammad Rizqi</v>
      </c>
      <c r="E109" s="19" t="str">
        <f>Responses!E109</f>
        <v>XI-4</v>
      </c>
      <c r="F109" s="19">
        <f>Responses!F109</f>
        <v>17</v>
      </c>
      <c r="G109" s="8">
        <f>IF(Responses!G109="","",IF(Responses!G109="Benar",2,IF(Responses!G109="Agak Benar",1,0)))</f>
        <v>2</v>
      </c>
      <c r="H109" s="8">
        <f>IF(Responses!H109="","",IF(Responses!H109="Benar",2,IF(Responses!H109="Agak Benar",1,0)))</f>
        <v>1</v>
      </c>
      <c r="I109" s="8">
        <f>IF(Responses!I109="","",IF(Responses!I109="Benar",2,IF(Responses!I109="Agak Benar",1,0)))</f>
        <v>0</v>
      </c>
      <c r="J109" s="8">
        <f>IF(Responses!J109="","",IF(Responses!J109="Benar",2,IF(Responses!J109="Agak Benar",1,0)))</f>
        <v>2</v>
      </c>
      <c r="K109" s="8">
        <f>IF(Responses!K109="","",IF(Responses!K109="Benar",2,IF(Responses!K109="Agak Benar",1,0)))</f>
        <v>0</v>
      </c>
      <c r="L109" s="8">
        <f>IF(Responses!L109="","",IF(Responses!L109="Benar",2,IF(Responses!L109="Agak Benar",1,0)))</f>
        <v>1</v>
      </c>
      <c r="M109" s="8">
        <f>IF(Responses!M109="","",IF(Responses!M109="Tidak Benar",2,IF(Responses!M109="Agak Benar",1,0)))</f>
        <v>0</v>
      </c>
      <c r="N109" s="8">
        <f>IF(Responses!N109="","",IF(Responses!N109="Benar",2,IF(Responses!N109="Agak Benar",1,0)))</f>
        <v>1</v>
      </c>
      <c r="O109" s="8">
        <f>IF(Responses!O109="","",IF(Responses!O109="Benar",2,IF(Responses!O109="Agak Benar",1,0)))</f>
        <v>2</v>
      </c>
      <c r="P109" s="8">
        <f>IF(Responses!P109="","",IF(Responses!P109="Benar",2,IF(Responses!P109="Agak Benar",1,0)))</f>
        <v>1</v>
      </c>
      <c r="Q109" s="8">
        <f>IF(Responses!Q109="","",IF(Responses!Q109="Tidak Benar",2,IF(Responses!Q109="Agak Benar",1,0)))</f>
        <v>0</v>
      </c>
      <c r="R109" s="8">
        <f>IF(Responses!R109="","",IF(Responses!R109="Benar",2,IF(Responses!R109="Agak Benar",1,0)))</f>
        <v>0</v>
      </c>
      <c r="S109" s="8">
        <f>IF(Responses!S109="","",IF(Responses!S109="Benar",2,IF(Responses!S109="Agak Benar",1,0)))</f>
        <v>1</v>
      </c>
      <c r="T109" s="8">
        <f>IF(Responses!T109="","",IF(Responses!T109="Tidak Benar",2,IF(Responses!T109="Agak Benar",1,0)))</f>
        <v>0</v>
      </c>
      <c r="U109" s="8">
        <f>IF(Responses!U109="","",IF(Responses!U109="Benar",2,IF(Responses!U109="Agak Benar",1,0)))</f>
        <v>0</v>
      </c>
      <c r="V109" s="8">
        <f>IF(Responses!V109="","",IF(Responses!V109="Benar",2,IF(Responses!V109="Agak Benar",1,0)))</f>
        <v>1</v>
      </c>
      <c r="W109" s="8">
        <f>IF(Responses!W109="","",IF(Responses!W109="Benar",2,IF(Responses!W109="Agak Benar",1,0)))</f>
        <v>2</v>
      </c>
      <c r="X109" s="8">
        <f>IF(Responses!X109="","",IF(Responses!X109="Benar",2,IF(Responses!X109="Agak Benar",1,0)))</f>
        <v>0</v>
      </c>
      <c r="Y109" s="8">
        <f>IF(Responses!Y109="","",IF(Responses!Y109="Benar",2,IF(Responses!Y109="Agak Benar",1,0)))</f>
        <v>0</v>
      </c>
      <c r="Z109" s="8">
        <f>IF(Responses!Z109="","",IF(Responses!Z109="Benar",2,IF(Responses!Z109="Agak Benar",1,0)))</f>
        <v>1</v>
      </c>
      <c r="AA109" s="8">
        <f>IF(Responses!AA109="","",IF(Responses!AA109="Tidak Benar",2,IF(Responses!AA109="Agak Benar",1,0)))</f>
        <v>0</v>
      </c>
      <c r="AB109" s="8">
        <f>IF(Responses!AB109="","",IF(Responses!AB109="Benar",2,IF(Responses!AB109="Agak Benar",1,0)))</f>
        <v>0</v>
      </c>
      <c r="AC109" s="8">
        <f>IF(Responses!AC109="","",IF(Responses!AC109="Benar",2,IF(Responses!AC109="Agak Benar",1,0)))</f>
        <v>1</v>
      </c>
      <c r="AD109" s="8">
        <f>IF(Responses!AD109="","",IF(Responses!AD109="Benar",2,IF(Responses!AD109="Agak Benar",1,0)))</f>
        <v>1</v>
      </c>
      <c r="AE109" s="8">
        <f>IF(Responses!AE109="","",IF(Responses!AE109="Tidak Benar",2,IF(Responses!AE109="Agak Benar",1,0)))</f>
        <v>0</v>
      </c>
      <c r="AF109" s="20">
        <f t="shared" si="36"/>
        <v>4</v>
      </c>
      <c r="AG109" s="20">
        <f t="shared" si="37"/>
        <v>0</v>
      </c>
      <c r="AH109" s="20">
        <f t="shared" si="38"/>
        <v>2</v>
      </c>
      <c r="AI109" s="20">
        <f t="shared" si="39"/>
        <v>2</v>
      </c>
      <c r="AJ109" s="20">
        <f t="shared" si="40"/>
        <v>9</v>
      </c>
      <c r="AK109" s="20" t="str">
        <f t="shared" si="41"/>
        <v>Normal</v>
      </c>
      <c r="AL109" s="20" t="str">
        <f t="shared" si="42"/>
        <v>Normal</v>
      </c>
      <c r="AM109" s="20" t="str">
        <f t="shared" si="43"/>
        <v>Normal</v>
      </c>
      <c r="AN109" s="20" t="str">
        <f t="shared" si="44"/>
        <v>Normal</v>
      </c>
      <c r="AO109" s="20" t="str">
        <f t="shared" si="45"/>
        <v>Normal</v>
      </c>
      <c r="AP109" s="20">
        <f t="shared" si="34"/>
        <v>8</v>
      </c>
      <c r="AQ109" s="20" t="str">
        <f t="shared" si="35"/>
        <v>Normal</v>
      </c>
    </row>
    <row r="110" spans="1:43" x14ac:dyDescent="0.3">
      <c r="A110" s="19" t="str">
        <f>Responses!A110</f>
        <v>Ge92glz</v>
      </c>
      <c r="B110" s="19" t="str">
        <f>Responses!B110</f>
        <v>rj0NPlL</v>
      </c>
      <c r="C110" s="19">
        <f>Responses!C110</f>
        <v>46136.12767361111</v>
      </c>
      <c r="D110" s="19" t="str">
        <f>Responses!D110</f>
        <v xml:space="preserve">Azain </v>
      </c>
      <c r="E110" s="19" t="str">
        <f>Responses!E110</f>
        <v>XI-4</v>
      </c>
      <c r="F110" s="19">
        <f>Responses!F110</f>
        <v>17</v>
      </c>
      <c r="G110" s="8">
        <f>IF(Responses!G110="","",IF(Responses!G110="Benar",2,IF(Responses!G110="Agak Benar",1,0)))</f>
        <v>2</v>
      </c>
      <c r="H110" s="8">
        <f>IF(Responses!H110="","",IF(Responses!H110="Benar",2,IF(Responses!H110="Agak Benar",1,0)))</f>
        <v>1</v>
      </c>
      <c r="I110" s="8">
        <f>IF(Responses!I110="","",IF(Responses!I110="Benar",2,IF(Responses!I110="Agak Benar",1,0)))</f>
        <v>0</v>
      </c>
      <c r="J110" s="8">
        <f>IF(Responses!J110="","",IF(Responses!J110="Benar",2,IF(Responses!J110="Agak Benar",1,0)))</f>
        <v>1</v>
      </c>
      <c r="K110" s="8">
        <f>IF(Responses!K110="","",IF(Responses!K110="Benar",2,IF(Responses!K110="Agak Benar",1,0)))</f>
        <v>2</v>
      </c>
      <c r="L110" s="8">
        <f>IF(Responses!L110="","",IF(Responses!L110="Benar",2,IF(Responses!L110="Agak Benar",1,0)))</f>
        <v>0</v>
      </c>
      <c r="M110" s="8">
        <f>IF(Responses!M110="","",IF(Responses!M110="Tidak Benar",2,IF(Responses!M110="Agak Benar",1,0)))</f>
        <v>1</v>
      </c>
      <c r="N110" s="8">
        <f>IF(Responses!N110="","",IF(Responses!N110="Benar",2,IF(Responses!N110="Agak Benar",1,0)))</f>
        <v>2</v>
      </c>
      <c r="O110" s="8">
        <f>IF(Responses!O110="","",IF(Responses!O110="Benar",2,IF(Responses!O110="Agak Benar",1,0)))</f>
        <v>2</v>
      </c>
      <c r="P110" s="8">
        <f>IF(Responses!P110="","",IF(Responses!P110="Benar",2,IF(Responses!P110="Agak Benar",1,0)))</f>
        <v>2</v>
      </c>
      <c r="Q110" s="8">
        <f>IF(Responses!Q110="","",IF(Responses!Q110="Tidak Benar",2,IF(Responses!Q110="Agak Benar",1,0)))</f>
        <v>0</v>
      </c>
      <c r="R110" s="8">
        <f>IF(Responses!R110="","",IF(Responses!R110="Benar",2,IF(Responses!R110="Agak Benar",1,0)))</f>
        <v>2</v>
      </c>
      <c r="S110" s="8">
        <f>IF(Responses!S110="","",IF(Responses!S110="Benar",2,IF(Responses!S110="Agak Benar",1,0)))</f>
        <v>0</v>
      </c>
      <c r="T110" s="8">
        <f>IF(Responses!T110="","",IF(Responses!T110="Tidak Benar",2,IF(Responses!T110="Agak Benar",1,0)))</f>
        <v>0</v>
      </c>
      <c r="U110" s="8">
        <f>IF(Responses!U110="","",IF(Responses!U110="Benar",2,IF(Responses!U110="Agak Benar",1,0)))</f>
        <v>1</v>
      </c>
      <c r="V110" s="8">
        <f>IF(Responses!V110="","",IF(Responses!V110="Benar",2,IF(Responses!V110="Agak Benar",1,0)))</f>
        <v>1</v>
      </c>
      <c r="W110" s="8">
        <f>IF(Responses!W110="","",IF(Responses!W110="Benar",2,IF(Responses!W110="Agak Benar",1,0)))</f>
        <v>1</v>
      </c>
      <c r="X110" s="8">
        <f>IF(Responses!X110="","",IF(Responses!X110="Benar",2,IF(Responses!X110="Agak Benar",1,0)))</f>
        <v>1</v>
      </c>
      <c r="Y110" s="8">
        <f>IF(Responses!Y110="","",IF(Responses!Y110="Benar",2,IF(Responses!Y110="Agak Benar",1,0)))</f>
        <v>0</v>
      </c>
      <c r="Z110" s="8">
        <f>IF(Responses!Z110="","",IF(Responses!Z110="Benar",2,IF(Responses!Z110="Agak Benar",1,0)))</f>
        <v>1</v>
      </c>
      <c r="AA110" s="8">
        <f>IF(Responses!AA110="","",IF(Responses!AA110="Tidak Benar",2,IF(Responses!AA110="Agak Benar",1,0)))</f>
        <v>0</v>
      </c>
      <c r="AB110" s="8">
        <f>IF(Responses!AB110="","",IF(Responses!AB110="Benar",2,IF(Responses!AB110="Agak Benar",1,0)))</f>
        <v>0</v>
      </c>
      <c r="AC110" s="8">
        <f>IF(Responses!AC110="","",IF(Responses!AC110="Benar",2,IF(Responses!AC110="Agak Benar",1,0)))</f>
        <v>1</v>
      </c>
      <c r="AD110" s="8">
        <f>IF(Responses!AD110="","",IF(Responses!AD110="Benar",2,IF(Responses!AD110="Agak Benar",1,0)))</f>
        <v>0</v>
      </c>
      <c r="AE110" s="8">
        <f>IF(Responses!AE110="","",IF(Responses!AE110="Tidak Benar",2,IF(Responses!AE110="Agak Benar",1,0)))</f>
        <v>0</v>
      </c>
      <c r="AF110" s="20">
        <f t="shared" si="36"/>
        <v>3</v>
      </c>
      <c r="AG110" s="20">
        <f t="shared" si="37"/>
        <v>6</v>
      </c>
      <c r="AH110" s="20">
        <f t="shared" si="38"/>
        <v>4</v>
      </c>
      <c r="AI110" s="20">
        <f t="shared" si="39"/>
        <v>1</v>
      </c>
      <c r="AJ110" s="20">
        <f t="shared" si="40"/>
        <v>7</v>
      </c>
      <c r="AK110" s="20" t="str">
        <f t="shared" si="41"/>
        <v>Normal</v>
      </c>
      <c r="AL110" s="20" t="str">
        <f t="shared" si="42"/>
        <v>Abnormal</v>
      </c>
      <c r="AM110" s="20" t="str">
        <f t="shared" si="43"/>
        <v>Normal</v>
      </c>
      <c r="AN110" s="20" t="str">
        <f t="shared" si="44"/>
        <v>Normal</v>
      </c>
      <c r="AO110" s="20" t="str">
        <f t="shared" si="45"/>
        <v>Normal</v>
      </c>
      <c r="AP110" s="20">
        <f t="shared" si="34"/>
        <v>14</v>
      </c>
      <c r="AQ110" s="20" t="str">
        <f t="shared" si="35"/>
        <v>Normal</v>
      </c>
    </row>
    <row r="111" spans="1:43" x14ac:dyDescent="0.3">
      <c r="A111" s="19" t="str">
        <f>Responses!A111</f>
        <v>dba5V7N</v>
      </c>
      <c r="B111" s="19" t="str">
        <f>Responses!B111</f>
        <v>WOeG5yP</v>
      </c>
      <c r="C111" s="19">
        <f>Responses!C111</f>
        <v>46136.128032407411</v>
      </c>
      <c r="D111" s="19" t="str">
        <f>Responses!D111</f>
        <v xml:space="preserve">Rafika Nur Istiqomah </v>
      </c>
      <c r="E111" s="19" t="str">
        <f>Responses!E111</f>
        <v>XI-4</v>
      </c>
      <c r="F111" s="19">
        <f>Responses!F111</f>
        <v>17</v>
      </c>
      <c r="G111" s="8">
        <f>IF(Responses!G111="","",IF(Responses!G111="Benar",2,IF(Responses!G111="Agak Benar",1,0)))</f>
        <v>2</v>
      </c>
      <c r="H111" s="8">
        <f>IF(Responses!H111="","",IF(Responses!H111="Benar",2,IF(Responses!H111="Agak Benar",1,0)))</f>
        <v>0</v>
      </c>
      <c r="I111" s="8">
        <f>IF(Responses!I111="","",IF(Responses!I111="Benar",2,IF(Responses!I111="Agak Benar",1,0)))</f>
        <v>0</v>
      </c>
      <c r="J111" s="8">
        <f>IF(Responses!J111="","",IF(Responses!J111="Benar",2,IF(Responses!J111="Agak Benar",1,0)))</f>
        <v>1</v>
      </c>
      <c r="K111" s="8">
        <f>IF(Responses!K111="","",IF(Responses!K111="Benar",2,IF(Responses!K111="Agak Benar",1,0)))</f>
        <v>1</v>
      </c>
      <c r="L111" s="8">
        <f>IF(Responses!L111="","",IF(Responses!L111="Benar",2,IF(Responses!L111="Agak Benar",1,0)))</f>
        <v>1</v>
      </c>
      <c r="M111" s="8">
        <f>IF(Responses!M111="","",IF(Responses!M111="Tidak Benar",2,IF(Responses!M111="Agak Benar",1,0)))</f>
        <v>1</v>
      </c>
      <c r="N111" s="8">
        <f>IF(Responses!N111="","",IF(Responses!N111="Benar",2,IF(Responses!N111="Agak Benar",1,0)))</f>
        <v>1</v>
      </c>
      <c r="O111" s="8">
        <f>IF(Responses!O111="","",IF(Responses!O111="Benar",2,IF(Responses!O111="Agak Benar",1,0)))</f>
        <v>1</v>
      </c>
      <c r="P111" s="8">
        <f>IF(Responses!P111="","",IF(Responses!P111="Benar",2,IF(Responses!P111="Agak Benar",1,0)))</f>
        <v>0</v>
      </c>
      <c r="Q111" s="8">
        <f>IF(Responses!Q111="","",IF(Responses!Q111="Tidak Benar",2,IF(Responses!Q111="Agak Benar",1,0)))</f>
        <v>0</v>
      </c>
      <c r="R111" s="8">
        <f>IF(Responses!R111="","",IF(Responses!R111="Benar",2,IF(Responses!R111="Agak Benar",1,0)))</f>
        <v>0</v>
      </c>
      <c r="S111" s="8">
        <f>IF(Responses!S111="","",IF(Responses!S111="Benar",2,IF(Responses!S111="Agak Benar",1,0)))</f>
        <v>1</v>
      </c>
      <c r="T111" s="8">
        <f>IF(Responses!T111="","",IF(Responses!T111="Tidak Benar",2,IF(Responses!T111="Agak Benar",1,0)))</f>
        <v>2</v>
      </c>
      <c r="U111" s="8">
        <f>IF(Responses!U111="","",IF(Responses!U111="Benar",2,IF(Responses!U111="Agak Benar",1,0)))</f>
        <v>1</v>
      </c>
      <c r="V111" s="8">
        <f>IF(Responses!V111="","",IF(Responses!V111="Benar",2,IF(Responses!V111="Agak Benar",1,0)))</f>
        <v>2</v>
      </c>
      <c r="W111" s="8">
        <f>IF(Responses!W111="","",IF(Responses!W111="Benar",2,IF(Responses!W111="Agak Benar",1,0)))</f>
        <v>2</v>
      </c>
      <c r="X111" s="8">
        <f>IF(Responses!X111="","",IF(Responses!X111="Benar",2,IF(Responses!X111="Agak Benar",1,0)))</f>
        <v>0</v>
      </c>
      <c r="Y111" s="8">
        <f>IF(Responses!Y111="","",IF(Responses!Y111="Benar",2,IF(Responses!Y111="Agak Benar",1,0)))</f>
        <v>2</v>
      </c>
      <c r="Z111" s="8">
        <f>IF(Responses!Z111="","",IF(Responses!Z111="Benar",2,IF(Responses!Z111="Agak Benar",1,0)))</f>
        <v>2</v>
      </c>
      <c r="AA111" s="8">
        <f>IF(Responses!AA111="","",IF(Responses!AA111="Tidak Benar",2,IF(Responses!AA111="Agak Benar",1,0)))</f>
        <v>0</v>
      </c>
      <c r="AB111" s="8">
        <f>IF(Responses!AB111="","",IF(Responses!AB111="Benar",2,IF(Responses!AB111="Agak Benar",1,0)))</f>
        <v>0</v>
      </c>
      <c r="AC111" s="8">
        <f>IF(Responses!AC111="","",IF(Responses!AC111="Benar",2,IF(Responses!AC111="Agak Benar",1,0)))</f>
        <v>1</v>
      </c>
      <c r="AD111" s="8">
        <f>IF(Responses!AD111="","",IF(Responses!AD111="Benar",2,IF(Responses!AD111="Agak Benar",1,0)))</f>
        <v>2</v>
      </c>
      <c r="AE111" s="8">
        <f>IF(Responses!AE111="","",IF(Responses!AE111="Tidak Benar",2,IF(Responses!AE111="Agak Benar",1,0)))</f>
        <v>1</v>
      </c>
      <c r="AF111" s="20">
        <f t="shared" si="36"/>
        <v>6</v>
      </c>
      <c r="AG111" s="20">
        <f t="shared" si="37"/>
        <v>2</v>
      </c>
      <c r="AH111" s="20">
        <f t="shared" si="38"/>
        <v>2</v>
      </c>
      <c r="AI111" s="20">
        <f t="shared" si="39"/>
        <v>6</v>
      </c>
      <c r="AJ111" s="20">
        <f t="shared" si="40"/>
        <v>8</v>
      </c>
      <c r="AK111" s="20" t="str">
        <f t="shared" si="41"/>
        <v>Borderline</v>
      </c>
      <c r="AL111" s="20" t="str">
        <f t="shared" si="42"/>
        <v>Normal</v>
      </c>
      <c r="AM111" s="20" t="str">
        <f t="shared" si="43"/>
        <v>Normal</v>
      </c>
      <c r="AN111" s="20" t="str">
        <f t="shared" si="44"/>
        <v>Abnormal</v>
      </c>
      <c r="AO111" s="20" t="str">
        <f t="shared" si="45"/>
        <v>Normal</v>
      </c>
      <c r="AP111" s="20">
        <f t="shared" si="34"/>
        <v>16</v>
      </c>
      <c r="AQ111" s="20" t="str">
        <f t="shared" si="35"/>
        <v>Borderline</v>
      </c>
    </row>
    <row r="112" spans="1:43" x14ac:dyDescent="0.3">
      <c r="A112" s="19" t="str">
        <f>Responses!A112</f>
        <v>1Wd1yAg</v>
      </c>
      <c r="B112" s="19" t="str">
        <f>Responses!B112</f>
        <v>D4XrNqE</v>
      </c>
      <c r="C112" s="19">
        <f>Responses!C112</f>
        <v>46136.128067129634</v>
      </c>
      <c r="D112" s="19" t="str">
        <f>Responses!D112</f>
        <v xml:space="preserve">Nailal Izzah Ramadhani </v>
      </c>
      <c r="E112" s="19" t="str">
        <f>Responses!E112</f>
        <v>XI-4</v>
      </c>
      <c r="F112" s="19">
        <f>Responses!F112</f>
        <v>17</v>
      </c>
      <c r="G112" s="8">
        <f>IF(Responses!G112="","",IF(Responses!G112="Benar",2,IF(Responses!G112="Agak Benar",1,0)))</f>
        <v>2</v>
      </c>
      <c r="H112" s="8">
        <f>IF(Responses!H112="","",IF(Responses!H112="Benar",2,IF(Responses!H112="Agak Benar",1,0)))</f>
        <v>1</v>
      </c>
      <c r="I112" s="8">
        <f>IF(Responses!I112="","",IF(Responses!I112="Benar",2,IF(Responses!I112="Agak Benar",1,0)))</f>
        <v>1</v>
      </c>
      <c r="J112" s="8">
        <f>IF(Responses!J112="","",IF(Responses!J112="Benar",2,IF(Responses!J112="Agak Benar",1,0)))</f>
        <v>2</v>
      </c>
      <c r="K112" s="8">
        <f>IF(Responses!K112="","",IF(Responses!K112="Benar",2,IF(Responses!K112="Agak Benar",1,0)))</f>
        <v>2</v>
      </c>
      <c r="L112" s="8">
        <f>IF(Responses!L112="","",IF(Responses!L112="Benar",2,IF(Responses!L112="Agak Benar",1,0)))</f>
        <v>1</v>
      </c>
      <c r="M112" s="8">
        <f>IF(Responses!M112="","",IF(Responses!M112="Tidak Benar",2,IF(Responses!M112="Agak Benar",1,0)))</f>
        <v>2</v>
      </c>
      <c r="N112" s="8">
        <f>IF(Responses!N112="","",IF(Responses!N112="Benar",2,IF(Responses!N112="Agak Benar",1,0)))</f>
        <v>2</v>
      </c>
      <c r="O112" s="8">
        <f>IF(Responses!O112="","",IF(Responses!O112="Benar",2,IF(Responses!O112="Agak Benar",1,0)))</f>
        <v>2</v>
      </c>
      <c r="P112" s="8">
        <f>IF(Responses!P112="","",IF(Responses!P112="Benar",2,IF(Responses!P112="Agak Benar",1,0)))</f>
        <v>2</v>
      </c>
      <c r="Q112" s="8">
        <f>IF(Responses!Q112="","",IF(Responses!Q112="Tidak Benar",2,IF(Responses!Q112="Agak Benar",1,0)))</f>
        <v>0</v>
      </c>
      <c r="R112" s="8">
        <f>IF(Responses!R112="","",IF(Responses!R112="Benar",2,IF(Responses!R112="Agak Benar",1,0)))</f>
        <v>2</v>
      </c>
      <c r="S112" s="8">
        <f>IF(Responses!S112="","",IF(Responses!S112="Benar",2,IF(Responses!S112="Agak Benar",1,0)))</f>
        <v>2</v>
      </c>
      <c r="T112" s="8">
        <f>IF(Responses!T112="","",IF(Responses!T112="Tidak Benar",2,IF(Responses!T112="Agak Benar",1,0)))</f>
        <v>2</v>
      </c>
      <c r="U112" s="8">
        <f>IF(Responses!U112="","",IF(Responses!U112="Benar",2,IF(Responses!U112="Agak Benar",1,0)))</f>
        <v>1</v>
      </c>
      <c r="V112" s="8">
        <f>IF(Responses!V112="","",IF(Responses!V112="Benar",2,IF(Responses!V112="Agak Benar",1,0)))</f>
        <v>0</v>
      </c>
      <c r="W112" s="8">
        <f>IF(Responses!W112="","",IF(Responses!W112="Benar",2,IF(Responses!W112="Agak Benar",1,0)))</f>
        <v>2</v>
      </c>
      <c r="X112" s="8">
        <f>IF(Responses!X112="","",IF(Responses!X112="Benar",2,IF(Responses!X112="Agak Benar",1,0)))</f>
        <v>0</v>
      </c>
      <c r="Y112" s="8">
        <f>IF(Responses!Y112="","",IF(Responses!Y112="Benar",2,IF(Responses!Y112="Agak Benar",1,0)))</f>
        <v>0</v>
      </c>
      <c r="Z112" s="8">
        <f>IF(Responses!Z112="","",IF(Responses!Z112="Benar",2,IF(Responses!Z112="Agak Benar",1,0)))</f>
        <v>2</v>
      </c>
      <c r="AA112" s="8">
        <f>IF(Responses!AA112="","",IF(Responses!AA112="Tidak Benar",2,IF(Responses!AA112="Agak Benar",1,0)))</f>
        <v>2</v>
      </c>
      <c r="AB112" s="8">
        <f>IF(Responses!AB112="","",IF(Responses!AB112="Benar",2,IF(Responses!AB112="Agak Benar",1,0)))</f>
        <v>0</v>
      </c>
      <c r="AC112" s="8">
        <f>IF(Responses!AC112="","",IF(Responses!AC112="Benar",2,IF(Responses!AC112="Agak Benar",1,0)))</f>
        <v>2</v>
      </c>
      <c r="AD112" s="8">
        <f>IF(Responses!AD112="","",IF(Responses!AD112="Benar",2,IF(Responses!AD112="Agak Benar",1,0)))</f>
        <v>1</v>
      </c>
      <c r="AE112" s="8">
        <f>IF(Responses!AE112="","",IF(Responses!AE112="Tidak Benar",2,IF(Responses!AE112="Agak Benar",1,0)))</f>
        <v>0</v>
      </c>
      <c r="AF112" s="20">
        <f t="shared" si="36"/>
        <v>6</v>
      </c>
      <c r="AG112" s="20">
        <f t="shared" si="37"/>
        <v>6</v>
      </c>
      <c r="AH112" s="20">
        <f t="shared" si="38"/>
        <v>6</v>
      </c>
      <c r="AI112" s="20">
        <f t="shared" si="39"/>
        <v>5</v>
      </c>
      <c r="AJ112" s="20">
        <f t="shared" si="40"/>
        <v>10</v>
      </c>
      <c r="AK112" s="20" t="str">
        <f t="shared" si="41"/>
        <v>Borderline</v>
      </c>
      <c r="AL112" s="20" t="str">
        <f t="shared" si="42"/>
        <v>Abnormal</v>
      </c>
      <c r="AM112" s="20" t="str">
        <f t="shared" si="43"/>
        <v>Borderline</v>
      </c>
      <c r="AN112" s="20" t="str">
        <f t="shared" si="44"/>
        <v>Borderline</v>
      </c>
      <c r="AO112" s="20" t="str">
        <f t="shared" si="45"/>
        <v>Normal</v>
      </c>
      <c r="AP112" s="20">
        <f t="shared" si="34"/>
        <v>23</v>
      </c>
      <c r="AQ112" s="20" t="str">
        <f t="shared" si="35"/>
        <v>Abnormal</v>
      </c>
    </row>
    <row r="113" spans="1:43" x14ac:dyDescent="0.3">
      <c r="A113" s="19" t="str">
        <f>Responses!A113</f>
        <v>Nqle970</v>
      </c>
      <c r="B113" s="19" t="str">
        <f>Responses!B113</f>
        <v>b52Ble0</v>
      </c>
      <c r="C113" s="19">
        <f>Responses!C113</f>
        <v>46136.128298611111</v>
      </c>
      <c r="D113" s="19" t="str">
        <f>Responses!D113</f>
        <v>Immanuel Jacob</v>
      </c>
      <c r="E113" s="19" t="str">
        <f>Responses!E113</f>
        <v>XI-4</v>
      </c>
      <c r="F113" s="19">
        <f>Responses!F113</f>
        <v>16</v>
      </c>
      <c r="G113" s="8">
        <f>IF(Responses!G113="","",IF(Responses!G113="Benar",2,IF(Responses!G113="Agak Benar",1,0)))</f>
        <v>2</v>
      </c>
      <c r="H113" s="8">
        <f>IF(Responses!H113="","",IF(Responses!H113="Benar",2,IF(Responses!H113="Agak Benar",1,0)))</f>
        <v>1</v>
      </c>
      <c r="I113" s="8">
        <f>IF(Responses!I113="","",IF(Responses!I113="Benar",2,IF(Responses!I113="Agak Benar",1,0)))</f>
        <v>1</v>
      </c>
      <c r="J113" s="8">
        <f>IF(Responses!J113="","",IF(Responses!J113="Benar",2,IF(Responses!J113="Agak Benar",1,0)))</f>
        <v>1</v>
      </c>
      <c r="K113" s="8">
        <f>IF(Responses!K113="","",IF(Responses!K113="Benar",2,IF(Responses!K113="Agak Benar",1,0)))</f>
        <v>0</v>
      </c>
      <c r="L113" s="8">
        <f>IF(Responses!L113="","",IF(Responses!L113="Benar",2,IF(Responses!L113="Agak Benar",1,0)))</f>
        <v>0</v>
      </c>
      <c r="M113" s="8">
        <f>IF(Responses!M113="","",IF(Responses!M113="Tidak Benar",2,IF(Responses!M113="Agak Benar",1,0)))</f>
        <v>1</v>
      </c>
      <c r="N113" s="8">
        <f>IF(Responses!N113="","",IF(Responses!N113="Benar",2,IF(Responses!N113="Agak Benar",1,0)))</f>
        <v>1</v>
      </c>
      <c r="O113" s="8">
        <f>IF(Responses!O113="","",IF(Responses!O113="Benar",2,IF(Responses!O113="Agak Benar",1,0)))</f>
        <v>2</v>
      </c>
      <c r="P113" s="8">
        <f>IF(Responses!P113="","",IF(Responses!P113="Benar",2,IF(Responses!P113="Agak Benar",1,0)))</f>
        <v>0</v>
      </c>
      <c r="Q113" s="8">
        <f>IF(Responses!Q113="","",IF(Responses!Q113="Tidak Benar",2,IF(Responses!Q113="Agak Benar",1,0)))</f>
        <v>0</v>
      </c>
      <c r="R113" s="8">
        <f>IF(Responses!R113="","",IF(Responses!R113="Benar",2,IF(Responses!R113="Agak Benar",1,0)))</f>
        <v>0</v>
      </c>
      <c r="S113" s="8">
        <f>IF(Responses!S113="","",IF(Responses!S113="Benar",2,IF(Responses!S113="Agak Benar",1,0)))</f>
        <v>0</v>
      </c>
      <c r="T113" s="8">
        <f>IF(Responses!T113="","",IF(Responses!T113="Tidak Benar",2,IF(Responses!T113="Agak Benar",1,0)))</f>
        <v>0</v>
      </c>
      <c r="U113" s="8">
        <f>IF(Responses!U113="","",IF(Responses!U113="Benar",2,IF(Responses!U113="Agak Benar",1,0)))</f>
        <v>1</v>
      </c>
      <c r="V113" s="8">
        <f>IF(Responses!V113="","",IF(Responses!V113="Benar",2,IF(Responses!V113="Agak Benar",1,0)))</f>
        <v>1</v>
      </c>
      <c r="W113" s="8">
        <f>IF(Responses!W113="","",IF(Responses!W113="Benar",2,IF(Responses!W113="Agak Benar",1,0)))</f>
        <v>0</v>
      </c>
      <c r="X113" s="8">
        <f>IF(Responses!X113="","",IF(Responses!X113="Benar",2,IF(Responses!X113="Agak Benar",1,0)))</f>
        <v>1</v>
      </c>
      <c r="Y113" s="8">
        <f>IF(Responses!Y113="","",IF(Responses!Y113="Benar",2,IF(Responses!Y113="Agak Benar",1,0)))</f>
        <v>0</v>
      </c>
      <c r="Z113" s="8">
        <f>IF(Responses!Z113="","",IF(Responses!Z113="Benar",2,IF(Responses!Z113="Agak Benar",1,0)))</f>
        <v>2</v>
      </c>
      <c r="AA113" s="8">
        <f>IF(Responses!AA113="","",IF(Responses!AA113="Tidak Benar",2,IF(Responses!AA113="Agak Benar",1,0)))</f>
        <v>0</v>
      </c>
      <c r="AB113" s="8">
        <f>IF(Responses!AB113="","",IF(Responses!AB113="Benar",2,IF(Responses!AB113="Agak Benar",1,0)))</f>
        <v>0</v>
      </c>
      <c r="AC113" s="8">
        <f>IF(Responses!AC113="","",IF(Responses!AC113="Benar",2,IF(Responses!AC113="Agak Benar",1,0)))</f>
        <v>2</v>
      </c>
      <c r="AD113" s="8">
        <f>IF(Responses!AD113="","",IF(Responses!AD113="Benar",2,IF(Responses!AD113="Agak Benar",1,0)))</f>
        <v>1</v>
      </c>
      <c r="AE113" s="8">
        <f>IF(Responses!AE113="","",IF(Responses!AE113="Tidak Benar",2,IF(Responses!AE113="Agak Benar",1,0)))</f>
        <v>1</v>
      </c>
      <c r="AF113" s="20">
        <f t="shared" si="36"/>
        <v>4</v>
      </c>
      <c r="AG113" s="20">
        <f t="shared" si="37"/>
        <v>2</v>
      </c>
      <c r="AH113" s="20">
        <f t="shared" si="38"/>
        <v>3</v>
      </c>
      <c r="AI113" s="20">
        <f t="shared" si="39"/>
        <v>2</v>
      </c>
      <c r="AJ113" s="20">
        <f t="shared" si="40"/>
        <v>7</v>
      </c>
      <c r="AK113" s="20" t="str">
        <f t="shared" si="41"/>
        <v>Normal</v>
      </c>
      <c r="AL113" s="20" t="str">
        <f t="shared" si="42"/>
        <v>Normal</v>
      </c>
      <c r="AM113" s="20" t="str">
        <f t="shared" si="43"/>
        <v>Normal</v>
      </c>
      <c r="AN113" s="20" t="str">
        <f t="shared" si="44"/>
        <v>Normal</v>
      </c>
      <c r="AO113" s="20" t="str">
        <f t="shared" si="45"/>
        <v>Normal</v>
      </c>
      <c r="AP113" s="20">
        <f t="shared" si="34"/>
        <v>11</v>
      </c>
      <c r="AQ113" s="20" t="str">
        <f t="shared" si="35"/>
        <v>Normal</v>
      </c>
    </row>
    <row r="114" spans="1:43" x14ac:dyDescent="0.3">
      <c r="A114" s="19" t="str">
        <f>Responses!A114</f>
        <v>rDaxbKN</v>
      </c>
      <c r="B114" s="19" t="str">
        <f>Responses!B114</f>
        <v>ja0dBMJ</v>
      </c>
      <c r="C114" s="19">
        <f>Responses!C114</f>
        <v>46136.128333333327</v>
      </c>
      <c r="D114" s="19" t="str">
        <f>Responses!D114</f>
        <v>Muhammad Razan Ghani Syamputra</v>
      </c>
      <c r="E114" s="19" t="str">
        <f>Responses!E114</f>
        <v>XI-4</v>
      </c>
      <c r="F114" s="19">
        <f>Responses!F114</f>
        <v>17</v>
      </c>
      <c r="G114" s="8">
        <f>IF(Responses!G114="","",IF(Responses!G114="Benar",2,IF(Responses!G114="Agak Benar",1,0)))</f>
        <v>2</v>
      </c>
      <c r="H114" s="8">
        <f>IF(Responses!H114="","",IF(Responses!H114="Benar",2,IF(Responses!H114="Agak Benar",1,0)))</f>
        <v>1</v>
      </c>
      <c r="I114" s="8">
        <f>IF(Responses!I114="","",IF(Responses!I114="Benar",2,IF(Responses!I114="Agak Benar",1,0)))</f>
        <v>0</v>
      </c>
      <c r="J114" s="8">
        <f>IF(Responses!J114="","",IF(Responses!J114="Benar",2,IF(Responses!J114="Agak Benar",1,0)))</f>
        <v>2</v>
      </c>
      <c r="K114" s="8">
        <f>IF(Responses!K114="","",IF(Responses!K114="Benar",2,IF(Responses!K114="Agak Benar",1,0)))</f>
        <v>2</v>
      </c>
      <c r="L114" s="8">
        <f>IF(Responses!L114="","",IF(Responses!L114="Benar",2,IF(Responses!L114="Agak Benar",1,0)))</f>
        <v>2</v>
      </c>
      <c r="M114" s="8">
        <f>IF(Responses!M114="","",IF(Responses!M114="Tidak Benar",2,IF(Responses!M114="Agak Benar",1,0)))</f>
        <v>0</v>
      </c>
      <c r="N114" s="8">
        <f>IF(Responses!N114="","",IF(Responses!N114="Benar",2,IF(Responses!N114="Agak Benar",1,0)))</f>
        <v>2</v>
      </c>
      <c r="O114" s="8">
        <f>IF(Responses!O114="","",IF(Responses!O114="Benar",2,IF(Responses!O114="Agak Benar",1,0)))</f>
        <v>2</v>
      </c>
      <c r="P114" s="8">
        <f>IF(Responses!P114="","",IF(Responses!P114="Benar",2,IF(Responses!P114="Agak Benar",1,0)))</f>
        <v>0</v>
      </c>
      <c r="Q114" s="8">
        <f>IF(Responses!Q114="","",IF(Responses!Q114="Tidak Benar",2,IF(Responses!Q114="Agak Benar",1,0)))</f>
        <v>0</v>
      </c>
      <c r="R114" s="8">
        <f>IF(Responses!R114="","",IF(Responses!R114="Benar",2,IF(Responses!R114="Agak Benar",1,0)))</f>
        <v>0</v>
      </c>
      <c r="S114" s="8">
        <f>IF(Responses!S114="","",IF(Responses!S114="Benar",2,IF(Responses!S114="Agak Benar",1,0)))</f>
        <v>1</v>
      </c>
      <c r="T114" s="8">
        <f>IF(Responses!T114="","",IF(Responses!T114="Tidak Benar",2,IF(Responses!T114="Agak Benar",1,0)))</f>
        <v>0</v>
      </c>
      <c r="U114" s="8">
        <f>IF(Responses!U114="","",IF(Responses!U114="Benar",2,IF(Responses!U114="Agak Benar",1,0)))</f>
        <v>1</v>
      </c>
      <c r="V114" s="8">
        <f>IF(Responses!V114="","",IF(Responses!V114="Benar",2,IF(Responses!V114="Agak Benar",1,0)))</f>
        <v>0</v>
      </c>
      <c r="W114" s="8">
        <f>IF(Responses!W114="","",IF(Responses!W114="Benar",2,IF(Responses!W114="Agak Benar",1,0)))</f>
        <v>2</v>
      </c>
      <c r="X114" s="8">
        <f>IF(Responses!X114="","",IF(Responses!X114="Benar",2,IF(Responses!X114="Agak Benar",1,0)))</f>
        <v>0</v>
      </c>
      <c r="Y114" s="8">
        <f>IF(Responses!Y114="","",IF(Responses!Y114="Benar",2,IF(Responses!Y114="Agak Benar",1,0)))</f>
        <v>0</v>
      </c>
      <c r="Z114" s="8">
        <f>IF(Responses!Z114="","",IF(Responses!Z114="Benar",2,IF(Responses!Z114="Agak Benar",1,0)))</f>
        <v>1</v>
      </c>
      <c r="AA114" s="8">
        <f>IF(Responses!AA114="","",IF(Responses!AA114="Tidak Benar",2,IF(Responses!AA114="Agak Benar",1,0)))</f>
        <v>0</v>
      </c>
      <c r="AB114" s="8">
        <f>IF(Responses!AB114="","",IF(Responses!AB114="Benar",2,IF(Responses!AB114="Agak Benar",1,0)))</f>
        <v>0</v>
      </c>
      <c r="AC114" s="8">
        <f>IF(Responses!AC114="","",IF(Responses!AC114="Benar",2,IF(Responses!AC114="Agak Benar",1,0)))</f>
        <v>2</v>
      </c>
      <c r="AD114" s="8">
        <f>IF(Responses!AD114="","",IF(Responses!AD114="Benar",2,IF(Responses!AD114="Agak Benar",1,0)))</f>
        <v>0</v>
      </c>
      <c r="AE114" s="8">
        <f>IF(Responses!AE114="","",IF(Responses!AE114="Tidak Benar",2,IF(Responses!AE114="Agak Benar",1,0)))</f>
        <v>0</v>
      </c>
      <c r="AF114" s="20">
        <f t="shared" si="36"/>
        <v>3</v>
      </c>
      <c r="AG114" s="20">
        <f t="shared" si="37"/>
        <v>2</v>
      </c>
      <c r="AH114" s="20">
        <f t="shared" si="38"/>
        <v>2</v>
      </c>
      <c r="AI114" s="20">
        <f t="shared" si="39"/>
        <v>4</v>
      </c>
      <c r="AJ114" s="20">
        <f t="shared" si="40"/>
        <v>9</v>
      </c>
      <c r="AK114" s="20" t="str">
        <f t="shared" si="41"/>
        <v>Normal</v>
      </c>
      <c r="AL114" s="20" t="str">
        <f t="shared" si="42"/>
        <v>Normal</v>
      </c>
      <c r="AM114" s="20" t="str">
        <f t="shared" si="43"/>
        <v>Normal</v>
      </c>
      <c r="AN114" s="20" t="str">
        <f t="shared" si="44"/>
        <v>Borderline</v>
      </c>
      <c r="AO114" s="20" t="str">
        <f t="shared" si="45"/>
        <v>Normal</v>
      </c>
      <c r="AP114" s="20">
        <f t="shared" si="34"/>
        <v>11</v>
      </c>
      <c r="AQ114" s="20" t="str">
        <f t="shared" si="35"/>
        <v>Normal</v>
      </c>
    </row>
    <row r="115" spans="1:43" x14ac:dyDescent="0.3">
      <c r="A115" s="19" t="str">
        <f>Responses!A115</f>
        <v>VpQka8l</v>
      </c>
      <c r="B115" s="19" t="str">
        <f>Responses!B115</f>
        <v>ob0rOyV</v>
      </c>
      <c r="C115" s="19">
        <f>Responses!C115</f>
        <v>46136.128750000003</v>
      </c>
      <c r="D115" s="19" t="str">
        <f>Responses!D115</f>
        <v>Rizky Widiantoro</v>
      </c>
      <c r="E115" s="19" t="str">
        <f>Responses!E115</f>
        <v>XI-4</v>
      </c>
      <c r="F115" s="19">
        <f>Responses!F115</f>
        <v>17</v>
      </c>
      <c r="G115" s="8">
        <f>IF(Responses!G115="","",IF(Responses!G115="Benar",2,IF(Responses!G115="Agak Benar",1,0)))</f>
        <v>1</v>
      </c>
      <c r="H115" s="8">
        <f>IF(Responses!H115="","",IF(Responses!H115="Benar",2,IF(Responses!H115="Agak Benar",1,0)))</f>
        <v>0</v>
      </c>
      <c r="I115" s="8">
        <f>IF(Responses!I115="","",IF(Responses!I115="Benar",2,IF(Responses!I115="Agak Benar",1,0)))</f>
        <v>0</v>
      </c>
      <c r="J115" s="8">
        <f>IF(Responses!J115="","",IF(Responses!J115="Benar",2,IF(Responses!J115="Agak Benar",1,0)))</f>
        <v>1</v>
      </c>
      <c r="K115" s="8">
        <f>IF(Responses!K115="","",IF(Responses!K115="Benar",2,IF(Responses!K115="Agak Benar",1,0)))</f>
        <v>0</v>
      </c>
      <c r="L115" s="8">
        <f>IF(Responses!L115="","",IF(Responses!L115="Benar",2,IF(Responses!L115="Agak Benar",1,0)))</f>
        <v>0</v>
      </c>
      <c r="M115" s="8">
        <f>IF(Responses!M115="","",IF(Responses!M115="Tidak Benar",2,IF(Responses!M115="Agak Benar",1,0)))</f>
        <v>1</v>
      </c>
      <c r="N115" s="8">
        <f>IF(Responses!N115="","",IF(Responses!N115="Benar",2,IF(Responses!N115="Agak Benar",1,0)))</f>
        <v>0</v>
      </c>
      <c r="O115" s="8">
        <f>IF(Responses!O115="","",IF(Responses!O115="Benar",2,IF(Responses!O115="Agak Benar",1,0)))</f>
        <v>1</v>
      </c>
      <c r="P115" s="8">
        <f>IF(Responses!P115="","",IF(Responses!P115="Benar",2,IF(Responses!P115="Agak Benar",1,0)))</f>
        <v>0</v>
      </c>
      <c r="Q115" s="8">
        <f>IF(Responses!Q115="","",IF(Responses!Q115="Tidak Benar",2,IF(Responses!Q115="Agak Benar",1,0)))</f>
        <v>1</v>
      </c>
      <c r="R115" s="8">
        <f>IF(Responses!R115="","",IF(Responses!R115="Benar",2,IF(Responses!R115="Agak Benar",1,0)))</f>
        <v>0</v>
      </c>
      <c r="S115" s="8">
        <f>IF(Responses!S115="","",IF(Responses!S115="Benar",2,IF(Responses!S115="Agak Benar",1,0)))</f>
        <v>0</v>
      </c>
      <c r="T115" s="8">
        <f>IF(Responses!T115="","",IF(Responses!T115="Tidak Benar",2,IF(Responses!T115="Agak Benar",1,0)))</f>
        <v>1</v>
      </c>
      <c r="U115" s="8">
        <f>IF(Responses!U115="","",IF(Responses!U115="Benar",2,IF(Responses!U115="Agak Benar",1,0)))</f>
        <v>0</v>
      </c>
      <c r="V115" s="8">
        <f>IF(Responses!V115="","",IF(Responses!V115="Benar",2,IF(Responses!V115="Agak Benar",1,0)))</f>
        <v>0</v>
      </c>
      <c r="W115" s="8">
        <f>IF(Responses!W115="","",IF(Responses!W115="Benar",2,IF(Responses!W115="Agak Benar",1,0)))</f>
        <v>2</v>
      </c>
      <c r="X115" s="8">
        <f>IF(Responses!X115="","",IF(Responses!X115="Benar",2,IF(Responses!X115="Agak Benar",1,0)))</f>
        <v>0</v>
      </c>
      <c r="Y115" s="8">
        <f>IF(Responses!Y115="","",IF(Responses!Y115="Benar",2,IF(Responses!Y115="Agak Benar",1,0)))</f>
        <v>0</v>
      </c>
      <c r="Z115" s="8">
        <f>IF(Responses!Z115="","",IF(Responses!Z115="Benar",2,IF(Responses!Z115="Agak Benar",1,0)))</f>
        <v>1</v>
      </c>
      <c r="AA115" s="8">
        <f>IF(Responses!AA115="","",IF(Responses!AA115="Tidak Benar",2,IF(Responses!AA115="Agak Benar",1,0)))</f>
        <v>0</v>
      </c>
      <c r="AB115" s="8">
        <f>IF(Responses!AB115="","",IF(Responses!AB115="Benar",2,IF(Responses!AB115="Agak Benar",1,0)))</f>
        <v>0</v>
      </c>
      <c r="AC115" s="8">
        <f>IF(Responses!AC115="","",IF(Responses!AC115="Benar",2,IF(Responses!AC115="Agak Benar",1,0)))</f>
        <v>1</v>
      </c>
      <c r="AD115" s="8">
        <f>IF(Responses!AD115="","",IF(Responses!AD115="Benar",2,IF(Responses!AD115="Agak Benar",1,0)))</f>
        <v>0</v>
      </c>
      <c r="AE115" s="8">
        <f>IF(Responses!AE115="","",IF(Responses!AE115="Tidak Benar",2,IF(Responses!AE115="Agak Benar",1,0)))</f>
        <v>0</v>
      </c>
      <c r="AF115" s="20">
        <f t="shared" si="36"/>
        <v>0</v>
      </c>
      <c r="AG115" s="20">
        <f t="shared" si="37"/>
        <v>1</v>
      </c>
      <c r="AH115" s="20">
        <f t="shared" si="38"/>
        <v>0</v>
      </c>
      <c r="AI115" s="20">
        <f t="shared" si="39"/>
        <v>3</v>
      </c>
      <c r="AJ115" s="20">
        <f t="shared" si="40"/>
        <v>6</v>
      </c>
      <c r="AK115" s="20" t="str">
        <f t="shared" si="41"/>
        <v>Normal</v>
      </c>
      <c r="AL115" s="20" t="str">
        <f t="shared" si="42"/>
        <v>Normal</v>
      </c>
      <c r="AM115" s="20" t="str">
        <f t="shared" si="43"/>
        <v>Normal</v>
      </c>
      <c r="AN115" s="20" t="str">
        <f t="shared" si="44"/>
        <v>Normal</v>
      </c>
      <c r="AO115" s="20" t="str">
        <f t="shared" si="45"/>
        <v>Normal</v>
      </c>
      <c r="AP115" s="20">
        <f t="shared" si="34"/>
        <v>4</v>
      </c>
      <c r="AQ115" s="20" t="str">
        <f t="shared" si="35"/>
        <v>Normal</v>
      </c>
    </row>
    <row r="116" spans="1:43" x14ac:dyDescent="0.3">
      <c r="A116" s="19" t="str">
        <f>Responses!A116</f>
        <v>rDaxQQM</v>
      </c>
      <c r="B116" s="19" t="str">
        <f>Responses!B116</f>
        <v>1AbZEyp</v>
      </c>
      <c r="C116" s="19">
        <f>Responses!C116</f>
        <v>46136.128842592603</v>
      </c>
      <c r="D116" s="19" t="str">
        <f>Responses!D116</f>
        <v>Salsabila Fauziah Qud</v>
      </c>
      <c r="E116" s="19" t="str">
        <f>Responses!E116</f>
        <v>XI-4</v>
      </c>
      <c r="F116" s="19">
        <f>Responses!F116</f>
        <v>16</v>
      </c>
      <c r="G116" s="8">
        <f>IF(Responses!G116="","",IF(Responses!G116="Benar",2,IF(Responses!G116="Agak Benar",1,0)))</f>
        <v>2</v>
      </c>
      <c r="H116" s="8">
        <f>IF(Responses!H116="","",IF(Responses!H116="Benar",2,IF(Responses!H116="Agak Benar",1,0)))</f>
        <v>0</v>
      </c>
      <c r="I116" s="8">
        <f>IF(Responses!I116="","",IF(Responses!I116="Benar",2,IF(Responses!I116="Agak Benar",1,0)))</f>
        <v>0</v>
      </c>
      <c r="J116" s="8">
        <f>IF(Responses!J116="","",IF(Responses!J116="Benar",2,IF(Responses!J116="Agak Benar",1,0)))</f>
        <v>2</v>
      </c>
      <c r="K116" s="8">
        <f>IF(Responses!K116="","",IF(Responses!K116="Benar",2,IF(Responses!K116="Agak Benar",1,0)))</f>
        <v>0</v>
      </c>
      <c r="L116" s="8">
        <f>IF(Responses!L116="","",IF(Responses!L116="Benar",2,IF(Responses!L116="Agak Benar",1,0)))</f>
        <v>0</v>
      </c>
      <c r="M116" s="8">
        <f>IF(Responses!M116="","",IF(Responses!M116="Tidak Benar",2,IF(Responses!M116="Agak Benar",1,0)))</f>
        <v>1</v>
      </c>
      <c r="N116" s="8">
        <f>IF(Responses!N116="","",IF(Responses!N116="Benar",2,IF(Responses!N116="Agak Benar",1,0)))</f>
        <v>0</v>
      </c>
      <c r="O116" s="8">
        <f>IF(Responses!O116="","",IF(Responses!O116="Benar",2,IF(Responses!O116="Agak Benar",1,0)))</f>
        <v>2</v>
      </c>
      <c r="P116" s="8">
        <f>IF(Responses!P116="","",IF(Responses!P116="Benar",2,IF(Responses!P116="Agak Benar",1,0)))</f>
        <v>0</v>
      </c>
      <c r="Q116" s="8">
        <f>IF(Responses!Q116="","",IF(Responses!Q116="Tidak Benar",2,IF(Responses!Q116="Agak Benar",1,0)))</f>
        <v>0</v>
      </c>
      <c r="R116" s="8">
        <f>IF(Responses!R116="","",IF(Responses!R116="Benar",2,IF(Responses!R116="Agak Benar",1,0)))</f>
        <v>0</v>
      </c>
      <c r="S116" s="8">
        <f>IF(Responses!S116="","",IF(Responses!S116="Benar",2,IF(Responses!S116="Agak Benar",1,0)))</f>
        <v>0</v>
      </c>
      <c r="T116" s="8">
        <f>IF(Responses!T116="","",IF(Responses!T116="Tidak Benar",2,IF(Responses!T116="Agak Benar",1,0)))</f>
        <v>1</v>
      </c>
      <c r="U116" s="8">
        <f>IF(Responses!U116="","",IF(Responses!U116="Benar",2,IF(Responses!U116="Agak Benar",1,0)))</f>
        <v>0</v>
      </c>
      <c r="V116" s="8">
        <f>IF(Responses!V116="","",IF(Responses!V116="Benar",2,IF(Responses!V116="Agak Benar",1,0)))</f>
        <v>1</v>
      </c>
      <c r="W116" s="8">
        <f>IF(Responses!W116="","",IF(Responses!W116="Benar",2,IF(Responses!W116="Agak Benar",1,0)))</f>
        <v>2</v>
      </c>
      <c r="X116" s="8">
        <f>IF(Responses!X116="","",IF(Responses!X116="Benar",2,IF(Responses!X116="Agak Benar",1,0)))</f>
        <v>0</v>
      </c>
      <c r="Y116" s="8">
        <f>IF(Responses!Y116="","",IF(Responses!Y116="Benar",2,IF(Responses!Y116="Agak Benar",1,0)))</f>
        <v>0</v>
      </c>
      <c r="Z116" s="8">
        <f>IF(Responses!Z116="","",IF(Responses!Z116="Benar",2,IF(Responses!Z116="Agak Benar",1,0)))</f>
        <v>2</v>
      </c>
      <c r="AA116" s="8">
        <f>IF(Responses!AA116="","",IF(Responses!AA116="Tidak Benar",2,IF(Responses!AA116="Agak Benar",1,0)))</f>
        <v>0</v>
      </c>
      <c r="AB116" s="8">
        <f>IF(Responses!AB116="","",IF(Responses!AB116="Benar",2,IF(Responses!AB116="Agak Benar",1,0)))</f>
        <v>0</v>
      </c>
      <c r="AC116" s="8">
        <f>IF(Responses!AC116="","",IF(Responses!AC116="Benar",2,IF(Responses!AC116="Agak Benar",1,0)))</f>
        <v>1</v>
      </c>
      <c r="AD116" s="8">
        <f>IF(Responses!AD116="","",IF(Responses!AD116="Benar",2,IF(Responses!AD116="Agak Benar",1,0)))</f>
        <v>0</v>
      </c>
      <c r="AE116" s="8">
        <f>IF(Responses!AE116="","",IF(Responses!AE116="Tidak Benar",2,IF(Responses!AE116="Agak Benar",1,0)))</f>
        <v>0</v>
      </c>
      <c r="AF116" s="20">
        <f t="shared" si="36"/>
        <v>1</v>
      </c>
      <c r="AG116" s="20">
        <f t="shared" si="37"/>
        <v>1</v>
      </c>
      <c r="AH116" s="20">
        <f t="shared" si="38"/>
        <v>0</v>
      </c>
      <c r="AI116" s="20">
        <f t="shared" si="39"/>
        <v>2</v>
      </c>
      <c r="AJ116" s="20">
        <f t="shared" si="40"/>
        <v>10</v>
      </c>
      <c r="AK116" s="20" t="str">
        <f t="shared" si="41"/>
        <v>Normal</v>
      </c>
      <c r="AL116" s="20" t="str">
        <f t="shared" si="42"/>
        <v>Normal</v>
      </c>
      <c r="AM116" s="20" t="str">
        <f t="shared" si="43"/>
        <v>Normal</v>
      </c>
      <c r="AN116" s="20" t="str">
        <f t="shared" si="44"/>
        <v>Normal</v>
      </c>
      <c r="AO116" s="20" t="str">
        <f t="shared" si="45"/>
        <v>Normal</v>
      </c>
      <c r="AP116" s="20">
        <f t="shared" si="34"/>
        <v>4</v>
      </c>
      <c r="AQ116" s="20" t="str">
        <f t="shared" si="35"/>
        <v>Normal</v>
      </c>
    </row>
    <row r="117" spans="1:43" x14ac:dyDescent="0.3">
      <c r="A117" s="19" t="str">
        <f>Responses!A117</f>
        <v>6DjX0Re</v>
      </c>
      <c r="B117" s="19" t="str">
        <f>Responses!B117</f>
        <v>eqN1L6e</v>
      </c>
      <c r="C117" s="19">
        <f>Responses!C117</f>
        <v>46136.128969907397</v>
      </c>
      <c r="D117" s="19" t="str">
        <f>Responses!D117</f>
        <v xml:space="preserve">Kevin Arya Dhana </v>
      </c>
      <c r="E117" s="19" t="str">
        <f>Responses!E117</f>
        <v>XI-4</v>
      </c>
      <c r="F117" s="19">
        <f>Responses!F117</f>
        <v>17</v>
      </c>
      <c r="G117" s="8">
        <f>IF(Responses!G117="","",IF(Responses!G117="Benar",2,IF(Responses!G117="Agak Benar",1,0)))</f>
        <v>2</v>
      </c>
      <c r="H117" s="8">
        <f>IF(Responses!H117="","",IF(Responses!H117="Benar",2,IF(Responses!H117="Agak Benar",1,0)))</f>
        <v>1</v>
      </c>
      <c r="I117" s="8">
        <f>IF(Responses!I117="","",IF(Responses!I117="Benar",2,IF(Responses!I117="Agak Benar",1,0)))</f>
        <v>0</v>
      </c>
      <c r="J117" s="8">
        <f>IF(Responses!J117="","",IF(Responses!J117="Benar",2,IF(Responses!J117="Agak Benar",1,0)))</f>
        <v>2</v>
      </c>
      <c r="K117" s="8">
        <f>IF(Responses!K117="","",IF(Responses!K117="Benar",2,IF(Responses!K117="Agak Benar",1,0)))</f>
        <v>1</v>
      </c>
      <c r="L117" s="8">
        <f>IF(Responses!L117="","",IF(Responses!L117="Benar",2,IF(Responses!L117="Agak Benar",1,0)))</f>
        <v>1</v>
      </c>
      <c r="M117" s="8">
        <f>IF(Responses!M117="","",IF(Responses!M117="Tidak Benar",2,IF(Responses!M117="Agak Benar",1,0)))</f>
        <v>1</v>
      </c>
      <c r="N117" s="8">
        <f>IF(Responses!N117="","",IF(Responses!N117="Benar",2,IF(Responses!N117="Agak Benar",1,0)))</f>
        <v>1</v>
      </c>
      <c r="O117" s="8">
        <f>IF(Responses!O117="","",IF(Responses!O117="Benar",2,IF(Responses!O117="Agak Benar",1,0)))</f>
        <v>1</v>
      </c>
      <c r="P117" s="8">
        <f>IF(Responses!P117="","",IF(Responses!P117="Benar",2,IF(Responses!P117="Agak Benar",1,0)))</f>
        <v>1</v>
      </c>
      <c r="Q117" s="8">
        <f>IF(Responses!Q117="","",IF(Responses!Q117="Tidak Benar",2,IF(Responses!Q117="Agak Benar",1,0)))</f>
        <v>1</v>
      </c>
      <c r="R117" s="8">
        <f>IF(Responses!R117="","",IF(Responses!R117="Benar",2,IF(Responses!R117="Agak Benar",1,0)))</f>
        <v>1</v>
      </c>
      <c r="S117" s="8">
        <f>IF(Responses!S117="","",IF(Responses!S117="Benar",2,IF(Responses!S117="Agak Benar",1,0)))</f>
        <v>1</v>
      </c>
      <c r="T117" s="8">
        <f>IF(Responses!T117="","",IF(Responses!T117="Tidak Benar",2,IF(Responses!T117="Agak Benar",1,0)))</f>
        <v>1</v>
      </c>
      <c r="U117" s="8">
        <f>IF(Responses!U117="","",IF(Responses!U117="Benar",2,IF(Responses!U117="Agak Benar",1,0)))</f>
        <v>1</v>
      </c>
      <c r="V117" s="8">
        <f>IF(Responses!V117="","",IF(Responses!V117="Benar",2,IF(Responses!V117="Agak Benar",1,0)))</f>
        <v>1</v>
      </c>
      <c r="W117" s="8">
        <f>IF(Responses!W117="","",IF(Responses!W117="Benar",2,IF(Responses!W117="Agak Benar",1,0)))</f>
        <v>1</v>
      </c>
      <c r="X117" s="8">
        <f>IF(Responses!X117="","",IF(Responses!X117="Benar",2,IF(Responses!X117="Agak Benar",1,0)))</f>
        <v>1</v>
      </c>
      <c r="Y117" s="8">
        <f>IF(Responses!Y117="","",IF(Responses!Y117="Benar",2,IF(Responses!Y117="Agak Benar",1,0)))</f>
        <v>1</v>
      </c>
      <c r="Z117" s="8">
        <f>IF(Responses!Z117="","",IF(Responses!Z117="Benar",2,IF(Responses!Z117="Agak Benar",1,0)))</f>
        <v>1</v>
      </c>
      <c r="AA117" s="8">
        <f>IF(Responses!AA117="","",IF(Responses!AA117="Tidak Benar",2,IF(Responses!AA117="Agak Benar",1,0)))</f>
        <v>1</v>
      </c>
      <c r="AB117" s="8">
        <f>IF(Responses!AB117="","",IF(Responses!AB117="Benar",2,IF(Responses!AB117="Agak Benar",1,0)))</f>
        <v>1</v>
      </c>
      <c r="AC117" s="8">
        <f>IF(Responses!AC117="","",IF(Responses!AC117="Benar",2,IF(Responses!AC117="Agak Benar",1,0)))</f>
        <v>1</v>
      </c>
      <c r="AD117" s="8">
        <f>IF(Responses!AD117="","",IF(Responses!AD117="Benar",2,IF(Responses!AD117="Agak Benar",1,0)))</f>
        <v>1</v>
      </c>
      <c r="AE117" s="8">
        <f>IF(Responses!AE117="","",IF(Responses!AE117="Tidak Benar",2,IF(Responses!AE117="Agak Benar",1,0)))</f>
        <v>1</v>
      </c>
      <c r="AF117" s="20">
        <f t="shared" si="36"/>
        <v>4</v>
      </c>
      <c r="AG117" s="20">
        <f t="shared" si="37"/>
        <v>5</v>
      </c>
      <c r="AH117" s="20">
        <f t="shared" si="38"/>
        <v>5</v>
      </c>
      <c r="AI117" s="20">
        <f t="shared" si="39"/>
        <v>5</v>
      </c>
      <c r="AJ117" s="20">
        <f t="shared" si="40"/>
        <v>7</v>
      </c>
      <c r="AK117" s="20" t="str">
        <f t="shared" si="41"/>
        <v>Normal</v>
      </c>
      <c r="AL117" s="20" t="str">
        <f t="shared" si="42"/>
        <v>Abnormal</v>
      </c>
      <c r="AM117" s="20" t="str">
        <f t="shared" si="43"/>
        <v>Normal</v>
      </c>
      <c r="AN117" s="20" t="str">
        <f t="shared" si="44"/>
        <v>Borderline</v>
      </c>
      <c r="AO117" s="20" t="str">
        <f t="shared" si="45"/>
        <v>Normal</v>
      </c>
      <c r="AP117" s="20">
        <f t="shared" si="34"/>
        <v>19</v>
      </c>
      <c r="AQ117" s="20" t="str">
        <f t="shared" si="35"/>
        <v>Borderline</v>
      </c>
    </row>
    <row r="118" spans="1:43" x14ac:dyDescent="0.3">
      <c r="A118" s="19" t="str">
        <f>Responses!A118</f>
        <v>0VBp0DA</v>
      </c>
      <c r="B118" s="19" t="str">
        <f>Responses!B118</f>
        <v>XxRVERO</v>
      </c>
      <c r="C118" s="19">
        <f>Responses!C118</f>
        <v>46136.129004629627</v>
      </c>
      <c r="D118" s="19" t="str">
        <f>Responses!D118</f>
        <v>Galang Revand I</v>
      </c>
      <c r="E118" s="19" t="str">
        <f>Responses!E118</f>
        <v>XI-4</v>
      </c>
      <c r="F118" s="19">
        <f>Responses!F118</f>
        <v>17</v>
      </c>
      <c r="G118" s="8">
        <f>IF(Responses!G118="","",IF(Responses!G118="Benar",2,IF(Responses!G118="Agak Benar",1,0)))</f>
        <v>2</v>
      </c>
      <c r="H118" s="8">
        <f>IF(Responses!H118="","",IF(Responses!H118="Benar",2,IF(Responses!H118="Agak Benar",1,0)))</f>
        <v>2</v>
      </c>
      <c r="I118" s="8">
        <f>IF(Responses!I118="","",IF(Responses!I118="Benar",2,IF(Responses!I118="Agak Benar",1,0)))</f>
        <v>1</v>
      </c>
      <c r="J118" s="8">
        <f>IF(Responses!J118="","",IF(Responses!J118="Benar",2,IF(Responses!J118="Agak Benar",1,0)))</f>
        <v>2</v>
      </c>
      <c r="K118" s="8">
        <f>IF(Responses!K118="","",IF(Responses!K118="Benar",2,IF(Responses!K118="Agak Benar",1,0)))</f>
        <v>1</v>
      </c>
      <c r="L118" s="8">
        <f>IF(Responses!L118="","",IF(Responses!L118="Benar",2,IF(Responses!L118="Agak Benar",1,0)))</f>
        <v>0</v>
      </c>
      <c r="M118" s="8">
        <f>IF(Responses!M118="","",IF(Responses!M118="Tidak Benar",2,IF(Responses!M118="Agak Benar",1,0)))</f>
        <v>1</v>
      </c>
      <c r="N118" s="8">
        <f>IF(Responses!N118="","",IF(Responses!N118="Benar",2,IF(Responses!N118="Agak Benar",1,0)))</f>
        <v>2</v>
      </c>
      <c r="O118" s="8">
        <f>IF(Responses!O118="","",IF(Responses!O118="Benar",2,IF(Responses!O118="Agak Benar",1,0)))</f>
        <v>2</v>
      </c>
      <c r="P118" s="8">
        <f>IF(Responses!P118="","",IF(Responses!P118="Benar",2,IF(Responses!P118="Agak Benar",1,0)))</f>
        <v>2</v>
      </c>
      <c r="Q118" s="8">
        <f>IF(Responses!Q118="","",IF(Responses!Q118="Tidak Benar",2,IF(Responses!Q118="Agak Benar",1,0)))</f>
        <v>0</v>
      </c>
      <c r="R118" s="8">
        <f>IF(Responses!R118="","",IF(Responses!R118="Benar",2,IF(Responses!R118="Agak Benar",1,0)))</f>
        <v>0</v>
      </c>
      <c r="S118" s="8">
        <f>IF(Responses!S118="","",IF(Responses!S118="Benar",2,IF(Responses!S118="Agak Benar",1,0)))</f>
        <v>1</v>
      </c>
      <c r="T118" s="8">
        <f>IF(Responses!T118="","",IF(Responses!T118="Tidak Benar",2,IF(Responses!T118="Agak Benar",1,0)))</f>
        <v>1</v>
      </c>
      <c r="U118" s="8">
        <f>IF(Responses!U118="","",IF(Responses!U118="Benar",2,IF(Responses!U118="Agak Benar",1,0)))</f>
        <v>2</v>
      </c>
      <c r="V118" s="8">
        <f>IF(Responses!V118="","",IF(Responses!V118="Benar",2,IF(Responses!V118="Agak Benar",1,0)))</f>
        <v>1</v>
      </c>
      <c r="W118" s="8">
        <f>IF(Responses!W118="","",IF(Responses!W118="Benar",2,IF(Responses!W118="Agak Benar",1,0)))</f>
        <v>2</v>
      </c>
      <c r="X118" s="8">
        <f>IF(Responses!X118="","",IF(Responses!X118="Benar",2,IF(Responses!X118="Agak Benar",1,0)))</f>
        <v>0</v>
      </c>
      <c r="Y118" s="8">
        <f>IF(Responses!Y118="","",IF(Responses!Y118="Benar",2,IF(Responses!Y118="Agak Benar",1,0)))</f>
        <v>1</v>
      </c>
      <c r="Z118" s="8">
        <f>IF(Responses!Z118="","",IF(Responses!Z118="Benar",2,IF(Responses!Z118="Agak Benar",1,0)))</f>
        <v>2</v>
      </c>
      <c r="AA118" s="8">
        <f>IF(Responses!AA118="","",IF(Responses!AA118="Tidak Benar",2,IF(Responses!AA118="Agak Benar",1,0)))</f>
        <v>0</v>
      </c>
      <c r="AB118" s="8">
        <f>IF(Responses!AB118="","",IF(Responses!AB118="Benar",2,IF(Responses!AB118="Agak Benar",1,0)))</f>
        <v>0</v>
      </c>
      <c r="AC118" s="8">
        <f>IF(Responses!AC118="","",IF(Responses!AC118="Benar",2,IF(Responses!AC118="Agak Benar",1,0)))</f>
        <v>0</v>
      </c>
      <c r="AD118" s="8">
        <f>IF(Responses!AD118="","",IF(Responses!AD118="Benar",2,IF(Responses!AD118="Agak Benar",1,0)))</f>
        <v>1</v>
      </c>
      <c r="AE118" s="8">
        <f>IF(Responses!AE118="","",IF(Responses!AE118="Tidak Benar",2,IF(Responses!AE118="Agak Benar",1,0)))</f>
        <v>0</v>
      </c>
      <c r="AF118" s="20">
        <f t="shared" si="36"/>
        <v>6</v>
      </c>
      <c r="AG118" s="20">
        <f t="shared" si="37"/>
        <v>2</v>
      </c>
      <c r="AH118" s="20">
        <f t="shared" si="38"/>
        <v>6</v>
      </c>
      <c r="AI118" s="20">
        <f t="shared" si="39"/>
        <v>2</v>
      </c>
      <c r="AJ118" s="20">
        <f t="shared" si="40"/>
        <v>10</v>
      </c>
      <c r="AK118" s="20" t="str">
        <f t="shared" si="41"/>
        <v>Borderline</v>
      </c>
      <c r="AL118" s="20" t="str">
        <f t="shared" si="42"/>
        <v>Normal</v>
      </c>
      <c r="AM118" s="20" t="str">
        <f t="shared" si="43"/>
        <v>Borderline</v>
      </c>
      <c r="AN118" s="20" t="str">
        <f t="shared" si="44"/>
        <v>Normal</v>
      </c>
      <c r="AO118" s="20" t="str">
        <f t="shared" si="45"/>
        <v>Normal</v>
      </c>
      <c r="AP118" s="20">
        <f t="shared" si="34"/>
        <v>16</v>
      </c>
      <c r="AQ118" s="20" t="str">
        <f t="shared" si="35"/>
        <v>Borderline</v>
      </c>
    </row>
    <row r="119" spans="1:43" x14ac:dyDescent="0.3">
      <c r="A119" s="19" t="str">
        <f>Responses!A119</f>
        <v>rDax8BX</v>
      </c>
      <c r="B119" s="19" t="str">
        <f>Responses!B119</f>
        <v>ja0dLdR</v>
      </c>
      <c r="C119" s="19">
        <f>Responses!C119</f>
        <v>46136.129131944443</v>
      </c>
      <c r="D119" s="19" t="str">
        <f>Responses!D119</f>
        <v>Rafka Fausta Dwi Darmawan</v>
      </c>
      <c r="E119" s="19" t="str">
        <f>Responses!E119</f>
        <v>XI-4</v>
      </c>
      <c r="F119" s="19">
        <f>Responses!F119</f>
        <v>17</v>
      </c>
      <c r="G119" s="8">
        <f>IF(Responses!G119="","",IF(Responses!G119="Benar",2,IF(Responses!G119="Agak Benar",1,0)))</f>
        <v>2</v>
      </c>
      <c r="H119" s="8">
        <f>IF(Responses!H119="","",IF(Responses!H119="Benar",2,IF(Responses!H119="Agak Benar",1,0)))</f>
        <v>1</v>
      </c>
      <c r="I119" s="8">
        <f>IF(Responses!I119="","",IF(Responses!I119="Benar",2,IF(Responses!I119="Agak Benar",1,0)))</f>
        <v>0</v>
      </c>
      <c r="J119" s="8">
        <f>IF(Responses!J119="","",IF(Responses!J119="Benar",2,IF(Responses!J119="Agak Benar",1,0)))</f>
        <v>2</v>
      </c>
      <c r="K119" s="8">
        <f>IF(Responses!K119="","",IF(Responses!K119="Benar",2,IF(Responses!K119="Agak Benar",1,0)))</f>
        <v>0</v>
      </c>
      <c r="L119" s="8">
        <f>IF(Responses!L119="","",IF(Responses!L119="Benar",2,IF(Responses!L119="Agak Benar",1,0)))</f>
        <v>0</v>
      </c>
      <c r="M119" s="8">
        <f>IF(Responses!M119="","",IF(Responses!M119="Tidak Benar",2,IF(Responses!M119="Agak Benar",1,0)))</f>
        <v>1</v>
      </c>
      <c r="N119" s="8">
        <f>IF(Responses!N119="","",IF(Responses!N119="Benar",2,IF(Responses!N119="Agak Benar",1,0)))</f>
        <v>0</v>
      </c>
      <c r="O119" s="8">
        <f>IF(Responses!O119="","",IF(Responses!O119="Benar",2,IF(Responses!O119="Agak Benar",1,0)))</f>
        <v>1</v>
      </c>
      <c r="P119" s="8">
        <f>IF(Responses!P119="","",IF(Responses!P119="Benar",2,IF(Responses!P119="Agak Benar",1,0)))</f>
        <v>0</v>
      </c>
      <c r="Q119" s="8">
        <f>IF(Responses!Q119="","",IF(Responses!Q119="Tidak Benar",2,IF(Responses!Q119="Agak Benar",1,0)))</f>
        <v>1</v>
      </c>
      <c r="R119" s="8">
        <f>IF(Responses!R119="","",IF(Responses!R119="Benar",2,IF(Responses!R119="Agak Benar",1,0)))</f>
        <v>1</v>
      </c>
      <c r="S119" s="8">
        <f>IF(Responses!S119="","",IF(Responses!S119="Benar",2,IF(Responses!S119="Agak Benar",1,0)))</f>
        <v>0</v>
      </c>
      <c r="T119" s="8">
        <f>IF(Responses!T119="","",IF(Responses!T119="Tidak Benar",2,IF(Responses!T119="Agak Benar",1,0)))</f>
        <v>0</v>
      </c>
      <c r="U119" s="8">
        <f>IF(Responses!U119="","",IF(Responses!U119="Benar",2,IF(Responses!U119="Agak Benar",1,0)))</f>
        <v>0</v>
      </c>
      <c r="V119" s="8">
        <f>IF(Responses!V119="","",IF(Responses!V119="Benar",2,IF(Responses!V119="Agak Benar",1,0)))</f>
        <v>0</v>
      </c>
      <c r="W119" s="8">
        <f>IF(Responses!W119="","",IF(Responses!W119="Benar",2,IF(Responses!W119="Agak Benar",1,0)))</f>
        <v>2</v>
      </c>
      <c r="X119" s="8">
        <f>IF(Responses!X119="","",IF(Responses!X119="Benar",2,IF(Responses!X119="Agak Benar",1,0)))</f>
        <v>0</v>
      </c>
      <c r="Y119" s="8">
        <f>IF(Responses!Y119="","",IF(Responses!Y119="Benar",2,IF(Responses!Y119="Agak Benar",1,0)))</f>
        <v>2</v>
      </c>
      <c r="Z119" s="8">
        <f>IF(Responses!Z119="","",IF(Responses!Z119="Benar",2,IF(Responses!Z119="Agak Benar",1,0)))</f>
        <v>2</v>
      </c>
      <c r="AA119" s="8">
        <f>IF(Responses!AA119="","",IF(Responses!AA119="Tidak Benar",2,IF(Responses!AA119="Agak Benar",1,0)))</f>
        <v>0</v>
      </c>
      <c r="AB119" s="8">
        <f>IF(Responses!AB119="","",IF(Responses!AB119="Benar",2,IF(Responses!AB119="Agak Benar",1,0)))</f>
        <v>1</v>
      </c>
      <c r="AC119" s="8">
        <f>IF(Responses!AC119="","",IF(Responses!AC119="Benar",2,IF(Responses!AC119="Agak Benar",1,0)))</f>
        <v>0</v>
      </c>
      <c r="AD119" s="8">
        <f>IF(Responses!AD119="","",IF(Responses!AD119="Benar",2,IF(Responses!AD119="Agak Benar",1,0)))</f>
        <v>0</v>
      </c>
      <c r="AE119" s="8">
        <f>IF(Responses!AE119="","",IF(Responses!AE119="Tidak Benar",2,IF(Responses!AE119="Agak Benar",1,0)))</f>
        <v>0</v>
      </c>
      <c r="AF119" s="20">
        <f t="shared" si="36"/>
        <v>0</v>
      </c>
      <c r="AG119" s="20">
        <f t="shared" si="37"/>
        <v>3</v>
      </c>
      <c r="AH119" s="20">
        <f t="shared" si="38"/>
        <v>1</v>
      </c>
      <c r="AI119" s="20">
        <f t="shared" si="39"/>
        <v>3</v>
      </c>
      <c r="AJ119" s="20">
        <f t="shared" si="40"/>
        <v>9</v>
      </c>
      <c r="AK119" s="20" t="str">
        <f t="shared" si="41"/>
        <v>Normal</v>
      </c>
      <c r="AL119" s="20" t="str">
        <f t="shared" si="42"/>
        <v>Normal</v>
      </c>
      <c r="AM119" s="20" t="str">
        <f t="shared" si="43"/>
        <v>Normal</v>
      </c>
      <c r="AN119" s="20" t="str">
        <f t="shared" si="44"/>
        <v>Normal</v>
      </c>
      <c r="AO119" s="20" t="str">
        <f t="shared" si="45"/>
        <v>Normal</v>
      </c>
      <c r="AP119" s="20">
        <f t="shared" si="34"/>
        <v>7</v>
      </c>
      <c r="AQ119" s="20" t="str">
        <f t="shared" si="35"/>
        <v>Normal</v>
      </c>
    </row>
    <row r="120" spans="1:43" x14ac:dyDescent="0.3">
      <c r="A120" s="19" t="str">
        <f>Responses!A120</f>
        <v>o9e48Rb</v>
      </c>
      <c r="B120" s="19" t="str">
        <f>Responses!B120</f>
        <v>GxoNDv2</v>
      </c>
      <c r="C120" s="19">
        <f>Responses!C120</f>
        <v>46136.129143518519</v>
      </c>
      <c r="D120" s="19" t="str">
        <f>Responses!D120</f>
        <v>Evano Wisha Argiant</v>
      </c>
      <c r="E120" s="19" t="str">
        <f>Responses!E120</f>
        <v>XI-4</v>
      </c>
      <c r="F120" s="19">
        <f>Responses!F120</f>
        <v>17</v>
      </c>
      <c r="G120" s="8">
        <f>IF(Responses!G120="","",IF(Responses!G120="Benar",2,IF(Responses!G120="Agak Benar",1,0)))</f>
        <v>2</v>
      </c>
      <c r="H120" s="8">
        <f>IF(Responses!H120="","",IF(Responses!H120="Benar",2,IF(Responses!H120="Agak Benar",1,0)))</f>
        <v>1</v>
      </c>
      <c r="I120" s="8">
        <f>IF(Responses!I120="","",IF(Responses!I120="Benar",2,IF(Responses!I120="Agak Benar",1,0)))</f>
        <v>0</v>
      </c>
      <c r="J120" s="8">
        <f>IF(Responses!J120="","",IF(Responses!J120="Benar",2,IF(Responses!J120="Agak Benar",1,0)))</f>
        <v>2</v>
      </c>
      <c r="K120" s="8">
        <f>IF(Responses!K120="","",IF(Responses!K120="Benar",2,IF(Responses!K120="Agak Benar",1,0)))</f>
        <v>1</v>
      </c>
      <c r="L120" s="8">
        <f>IF(Responses!L120="","",IF(Responses!L120="Benar",2,IF(Responses!L120="Agak Benar",1,0)))</f>
        <v>0</v>
      </c>
      <c r="M120" s="8">
        <f>IF(Responses!M120="","",IF(Responses!M120="Tidak Benar",2,IF(Responses!M120="Agak Benar",1,0)))</f>
        <v>2</v>
      </c>
      <c r="N120" s="8">
        <f>IF(Responses!N120="","",IF(Responses!N120="Benar",2,IF(Responses!N120="Agak Benar",1,0)))</f>
        <v>1</v>
      </c>
      <c r="O120" s="8">
        <f>IF(Responses!O120="","",IF(Responses!O120="Benar",2,IF(Responses!O120="Agak Benar",1,0)))</f>
        <v>2</v>
      </c>
      <c r="P120" s="8">
        <f>IF(Responses!P120="","",IF(Responses!P120="Benar",2,IF(Responses!P120="Agak Benar",1,0)))</f>
        <v>2</v>
      </c>
      <c r="Q120" s="8">
        <f>IF(Responses!Q120="","",IF(Responses!Q120="Tidak Benar",2,IF(Responses!Q120="Agak Benar",1,0)))</f>
        <v>0</v>
      </c>
      <c r="R120" s="8">
        <f>IF(Responses!R120="","",IF(Responses!R120="Benar",2,IF(Responses!R120="Agak Benar",1,0)))</f>
        <v>1</v>
      </c>
      <c r="S120" s="8">
        <f>IF(Responses!S120="","",IF(Responses!S120="Benar",2,IF(Responses!S120="Agak Benar",1,0)))</f>
        <v>0</v>
      </c>
      <c r="T120" s="8">
        <f>IF(Responses!T120="","",IF(Responses!T120="Tidak Benar",2,IF(Responses!T120="Agak Benar",1,0)))</f>
        <v>1</v>
      </c>
      <c r="U120" s="8">
        <f>IF(Responses!U120="","",IF(Responses!U120="Benar",2,IF(Responses!U120="Agak Benar",1,0)))</f>
        <v>2</v>
      </c>
      <c r="V120" s="8">
        <f>IF(Responses!V120="","",IF(Responses!V120="Benar",2,IF(Responses!V120="Agak Benar",1,0)))</f>
        <v>1</v>
      </c>
      <c r="W120" s="8">
        <f>IF(Responses!W120="","",IF(Responses!W120="Benar",2,IF(Responses!W120="Agak Benar",1,0)))</f>
        <v>2</v>
      </c>
      <c r="X120" s="8">
        <f>IF(Responses!X120="","",IF(Responses!X120="Benar",2,IF(Responses!X120="Agak Benar",1,0)))</f>
        <v>2</v>
      </c>
      <c r="Y120" s="8">
        <f>IF(Responses!Y120="","",IF(Responses!Y120="Benar",2,IF(Responses!Y120="Agak Benar",1,0)))</f>
        <v>0</v>
      </c>
      <c r="Z120" s="8">
        <f>IF(Responses!Z120="","",IF(Responses!Z120="Benar",2,IF(Responses!Z120="Agak Benar",1,0)))</f>
        <v>2</v>
      </c>
      <c r="AA120" s="8">
        <f>IF(Responses!AA120="","",IF(Responses!AA120="Tidak Benar",2,IF(Responses!AA120="Agak Benar",1,0)))</f>
        <v>0</v>
      </c>
      <c r="AB120" s="8">
        <f>IF(Responses!AB120="","",IF(Responses!AB120="Benar",2,IF(Responses!AB120="Agak Benar",1,0)))</f>
        <v>0</v>
      </c>
      <c r="AC120" s="8">
        <f>IF(Responses!AC120="","",IF(Responses!AC120="Benar",2,IF(Responses!AC120="Agak Benar",1,0)))</f>
        <v>0</v>
      </c>
      <c r="AD120" s="8">
        <f>IF(Responses!AD120="","",IF(Responses!AD120="Benar",2,IF(Responses!AD120="Agak Benar",1,0)))</f>
        <v>2</v>
      </c>
      <c r="AE120" s="8">
        <f>IF(Responses!AE120="","",IF(Responses!AE120="Tidak Benar",2,IF(Responses!AE120="Agak Benar",1,0)))</f>
        <v>0</v>
      </c>
      <c r="AF120" s="20">
        <f t="shared" si="36"/>
        <v>4</v>
      </c>
      <c r="AG120" s="20">
        <f t="shared" si="37"/>
        <v>6</v>
      </c>
      <c r="AH120" s="20">
        <f t="shared" si="38"/>
        <v>5</v>
      </c>
      <c r="AI120" s="20">
        <f t="shared" si="39"/>
        <v>1</v>
      </c>
      <c r="AJ120" s="20">
        <f t="shared" si="40"/>
        <v>10</v>
      </c>
      <c r="AK120" s="20" t="str">
        <f t="shared" si="41"/>
        <v>Normal</v>
      </c>
      <c r="AL120" s="20" t="str">
        <f t="shared" si="42"/>
        <v>Abnormal</v>
      </c>
      <c r="AM120" s="20" t="str">
        <f t="shared" si="43"/>
        <v>Normal</v>
      </c>
      <c r="AN120" s="20" t="str">
        <f t="shared" si="44"/>
        <v>Normal</v>
      </c>
      <c r="AO120" s="20" t="str">
        <f t="shared" si="45"/>
        <v>Normal</v>
      </c>
      <c r="AP120" s="20">
        <f t="shared" si="34"/>
        <v>16</v>
      </c>
      <c r="AQ120" s="20" t="str">
        <f t="shared" si="35"/>
        <v>Borderline</v>
      </c>
    </row>
    <row r="121" spans="1:43" x14ac:dyDescent="0.3">
      <c r="A121" s="19" t="str">
        <f>Responses!A121</f>
        <v>yX2W5P0</v>
      </c>
      <c r="B121" s="19" t="str">
        <f>Responses!B121</f>
        <v>yP0KvOx</v>
      </c>
      <c r="C121" s="19">
        <f>Responses!C121</f>
        <v>46136.129328703697</v>
      </c>
      <c r="D121" s="19" t="str">
        <f>Responses!D121</f>
        <v xml:space="preserve">Silvyana Putri Ramadhani </v>
      </c>
      <c r="E121" s="19" t="str">
        <f>Responses!E121</f>
        <v>XI-4</v>
      </c>
      <c r="F121" s="19">
        <f>Responses!F121</f>
        <v>17</v>
      </c>
      <c r="G121" s="8">
        <f>IF(Responses!G121="","",IF(Responses!G121="Benar",2,IF(Responses!G121="Agak Benar",1,0)))</f>
        <v>2</v>
      </c>
      <c r="H121" s="8">
        <f>IF(Responses!H121="","",IF(Responses!H121="Benar",2,IF(Responses!H121="Agak Benar",1,0)))</f>
        <v>0</v>
      </c>
      <c r="I121" s="8">
        <f>IF(Responses!I121="","",IF(Responses!I121="Benar",2,IF(Responses!I121="Agak Benar",1,0)))</f>
        <v>0</v>
      </c>
      <c r="J121" s="8">
        <f>IF(Responses!J121="","",IF(Responses!J121="Benar",2,IF(Responses!J121="Agak Benar",1,0)))</f>
        <v>1</v>
      </c>
      <c r="K121" s="8">
        <f>IF(Responses!K121="","",IF(Responses!K121="Benar",2,IF(Responses!K121="Agak Benar",1,0)))</f>
        <v>1</v>
      </c>
      <c r="L121" s="8">
        <f>IF(Responses!L121="","",IF(Responses!L121="Benar",2,IF(Responses!L121="Agak Benar",1,0)))</f>
        <v>1</v>
      </c>
      <c r="M121" s="8">
        <f>IF(Responses!M121="","",IF(Responses!M121="Tidak Benar",2,IF(Responses!M121="Agak Benar",1,0)))</f>
        <v>1</v>
      </c>
      <c r="N121" s="8">
        <f>IF(Responses!N121="","",IF(Responses!N121="Benar",2,IF(Responses!N121="Agak Benar",1,0)))</f>
        <v>1</v>
      </c>
      <c r="O121" s="8">
        <f>IF(Responses!O121="","",IF(Responses!O121="Benar",2,IF(Responses!O121="Agak Benar",1,0)))</f>
        <v>1</v>
      </c>
      <c r="P121" s="8">
        <f>IF(Responses!P121="","",IF(Responses!P121="Benar",2,IF(Responses!P121="Agak Benar",1,0)))</f>
        <v>1</v>
      </c>
      <c r="Q121" s="8">
        <f>IF(Responses!Q121="","",IF(Responses!Q121="Tidak Benar",2,IF(Responses!Q121="Agak Benar",1,0)))</f>
        <v>0</v>
      </c>
      <c r="R121" s="8">
        <f>IF(Responses!R121="","",IF(Responses!R121="Benar",2,IF(Responses!R121="Agak Benar",1,0)))</f>
        <v>0</v>
      </c>
      <c r="S121" s="8">
        <f>IF(Responses!S121="","",IF(Responses!S121="Benar",2,IF(Responses!S121="Agak Benar",1,0)))</f>
        <v>1</v>
      </c>
      <c r="T121" s="8">
        <f>IF(Responses!T121="","",IF(Responses!T121="Tidak Benar",2,IF(Responses!T121="Agak Benar",1,0)))</f>
        <v>1</v>
      </c>
      <c r="U121" s="8">
        <f>IF(Responses!U121="","",IF(Responses!U121="Benar",2,IF(Responses!U121="Agak Benar",1,0)))</f>
        <v>0</v>
      </c>
      <c r="V121" s="8">
        <f>IF(Responses!V121="","",IF(Responses!V121="Benar",2,IF(Responses!V121="Agak Benar",1,0)))</f>
        <v>0</v>
      </c>
      <c r="W121" s="8">
        <f>IF(Responses!W121="","",IF(Responses!W121="Benar",2,IF(Responses!W121="Agak Benar",1,0)))</f>
        <v>2</v>
      </c>
      <c r="X121" s="8">
        <f>IF(Responses!X121="","",IF(Responses!X121="Benar",2,IF(Responses!X121="Agak Benar",1,0)))</f>
        <v>0</v>
      </c>
      <c r="Y121" s="8">
        <f>IF(Responses!Y121="","",IF(Responses!Y121="Benar",2,IF(Responses!Y121="Agak Benar",1,0)))</f>
        <v>1</v>
      </c>
      <c r="Z121" s="8">
        <f>IF(Responses!Z121="","",IF(Responses!Z121="Benar",2,IF(Responses!Z121="Agak Benar",1,0)))</f>
        <v>1</v>
      </c>
      <c r="AA121" s="8">
        <f>IF(Responses!AA121="","",IF(Responses!AA121="Tidak Benar",2,IF(Responses!AA121="Agak Benar",1,0)))</f>
        <v>0</v>
      </c>
      <c r="AB121" s="8">
        <f>IF(Responses!AB121="","",IF(Responses!AB121="Benar",2,IF(Responses!AB121="Agak Benar",1,0)))</f>
        <v>0</v>
      </c>
      <c r="AC121" s="8">
        <f>IF(Responses!AC121="","",IF(Responses!AC121="Benar",2,IF(Responses!AC121="Agak Benar",1,0)))</f>
        <v>0</v>
      </c>
      <c r="AD121" s="8">
        <f>IF(Responses!AD121="","",IF(Responses!AD121="Benar",2,IF(Responses!AD121="Agak Benar",1,0)))</f>
        <v>0</v>
      </c>
      <c r="AE121" s="8">
        <f>IF(Responses!AE121="","",IF(Responses!AE121="Tidak Benar",2,IF(Responses!AE121="Agak Benar",1,0)))</f>
        <v>1</v>
      </c>
      <c r="AF121" s="20">
        <f t="shared" si="36"/>
        <v>2</v>
      </c>
      <c r="AG121" s="20">
        <f t="shared" si="37"/>
        <v>2</v>
      </c>
      <c r="AH121" s="20">
        <f t="shared" si="38"/>
        <v>2</v>
      </c>
      <c r="AI121" s="20">
        <f t="shared" si="39"/>
        <v>3</v>
      </c>
      <c r="AJ121" s="20">
        <f t="shared" si="40"/>
        <v>7</v>
      </c>
      <c r="AK121" s="20" t="str">
        <f t="shared" si="41"/>
        <v>Normal</v>
      </c>
      <c r="AL121" s="20" t="str">
        <f t="shared" si="42"/>
        <v>Normal</v>
      </c>
      <c r="AM121" s="20" t="str">
        <f t="shared" si="43"/>
        <v>Normal</v>
      </c>
      <c r="AN121" s="20" t="str">
        <f t="shared" si="44"/>
        <v>Normal</v>
      </c>
      <c r="AO121" s="20" t="str">
        <f t="shared" si="45"/>
        <v>Normal</v>
      </c>
      <c r="AP121" s="20">
        <f t="shared" si="34"/>
        <v>9</v>
      </c>
      <c r="AQ121" s="20" t="str">
        <f t="shared" si="35"/>
        <v>Normal</v>
      </c>
    </row>
    <row r="122" spans="1:43" x14ac:dyDescent="0.3">
      <c r="A122" s="19" t="str">
        <f>Responses!A122</f>
        <v>2jaMG2D</v>
      </c>
      <c r="B122" s="19" t="str">
        <f>Responses!B122</f>
        <v>kd0D74J</v>
      </c>
      <c r="C122" s="19">
        <f>Responses!C122</f>
        <v>46136.129513888889</v>
      </c>
      <c r="D122" s="19" t="str">
        <f>Responses!D122</f>
        <v>ahsan alvaro</v>
      </c>
      <c r="E122" s="19" t="str">
        <f>Responses!E122</f>
        <v>XI-4</v>
      </c>
      <c r="F122" s="19">
        <f>Responses!F122</f>
        <v>17</v>
      </c>
      <c r="G122" s="8">
        <f>IF(Responses!G122="","",IF(Responses!G122="Benar",2,IF(Responses!G122="Agak Benar",1,0)))</f>
        <v>2</v>
      </c>
      <c r="H122" s="8">
        <f>IF(Responses!H122="","",IF(Responses!H122="Benar",2,IF(Responses!H122="Agak Benar",1,0)))</f>
        <v>0</v>
      </c>
      <c r="I122" s="8">
        <f>IF(Responses!I122="","",IF(Responses!I122="Benar",2,IF(Responses!I122="Agak Benar",1,0)))</f>
        <v>0</v>
      </c>
      <c r="J122" s="8">
        <f>IF(Responses!J122="","",IF(Responses!J122="Benar",2,IF(Responses!J122="Agak Benar",1,0)))</f>
        <v>1</v>
      </c>
      <c r="K122" s="8">
        <f>IF(Responses!K122="","",IF(Responses!K122="Benar",2,IF(Responses!K122="Agak Benar",1,0)))</f>
        <v>0</v>
      </c>
      <c r="L122" s="8">
        <f>IF(Responses!L122="","",IF(Responses!L122="Benar",2,IF(Responses!L122="Agak Benar",1,0)))</f>
        <v>0</v>
      </c>
      <c r="M122" s="8">
        <f>IF(Responses!M122="","",IF(Responses!M122="Tidak Benar",2,IF(Responses!M122="Agak Benar",1,0)))</f>
        <v>2</v>
      </c>
      <c r="N122" s="8">
        <f>IF(Responses!N122="","",IF(Responses!N122="Benar",2,IF(Responses!N122="Agak Benar",1,0)))</f>
        <v>0</v>
      </c>
      <c r="O122" s="8">
        <f>IF(Responses!O122="","",IF(Responses!O122="Benar",2,IF(Responses!O122="Agak Benar",1,0)))</f>
        <v>2</v>
      </c>
      <c r="P122" s="8">
        <f>IF(Responses!P122="","",IF(Responses!P122="Benar",2,IF(Responses!P122="Agak Benar",1,0)))</f>
        <v>0</v>
      </c>
      <c r="Q122" s="8">
        <f>IF(Responses!Q122="","",IF(Responses!Q122="Tidak Benar",2,IF(Responses!Q122="Agak Benar",1,0)))</f>
        <v>1</v>
      </c>
      <c r="R122" s="8">
        <f>IF(Responses!R122="","",IF(Responses!R122="Benar",2,IF(Responses!R122="Agak Benar",1,0)))</f>
        <v>1</v>
      </c>
      <c r="S122" s="8">
        <f>IF(Responses!S122="","",IF(Responses!S122="Benar",2,IF(Responses!S122="Agak Benar",1,0)))</f>
        <v>0</v>
      </c>
      <c r="T122" s="8">
        <f>IF(Responses!T122="","",IF(Responses!T122="Tidak Benar",2,IF(Responses!T122="Agak Benar",1,0)))</f>
        <v>2</v>
      </c>
      <c r="U122" s="8">
        <f>IF(Responses!U122="","",IF(Responses!U122="Benar",2,IF(Responses!U122="Agak Benar",1,0)))</f>
        <v>0</v>
      </c>
      <c r="V122" s="8">
        <f>IF(Responses!V122="","",IF(Responses!V122="Benar",2,IF(Responses!V122="Agak Benar",1,0)))</f>
        <v>0</v>
      </c>
      <c r="W122" s="8">
        <f>IF(Responses!W122="","",IF(Responses!W122="Benar",2,IF(Responses!W122="Agak Benar",1,0)))</f>
        <v>2</v>
      </c>
      <c r="X122" s="8">
        <f>IF(Responses!X122="","",IF(Responses!X122="Benar",2,IF(Responses!X122="Agak Benar",1,0)))</f>
        <v>0</v>
      </c>
      <c r="Y122" s="8">
        <f>IF(Responses!Y122="","",IF(Responses!Y122="Benar",2,IF(Responses!Y122="Agak Benar",1,0)))</f>
        <v>1</v>
      </c>
      <c r="Z122" s="8">
        <f>IF(Responses!Z122="","",IF(Responses!Z122="Benar",2,IF(Responses!Z122="Agak Benar",1,0)))</f>
        <v>2</v>
      </c>
      <c r="AA122" s="8">
        <f>IF(Responses!AA122="","",IF(Responses!AA122="Tidak Benar",2,IF(Responses!AA122="Agak Benar",1,0)))</f>
        <v>0</v>
      </c>
      <c r="AB122" s="8">
        <f>IF(Responses!AB122="","",IF(Responses!AB122="Benar",2,IF(Responses!AB122="Agak Benar",1,0)))</f>
        <v>0</v>
      </c>
      <c r="AC122" s="8">
        <f>IF(Responses!AC122="","",IF(Responses!AC122="Benar",2,IF(Responses!AC122="Agak Benar",1,0)))</f>
        <v>1</v>
      </c>
      <c r="AD122" s="8">
        <f>IF(Responses!AD122="","",IF(Responses!AD122="Benar",2,IF(Responses!AD122="Agak Benar",1,0)))</f>
        <v>0</v>
      </c>
      <c r="AE122" s="8">
        <f>IF(Responses!AE122="","",IF(Responses!AE122="Tidak Benar",2,IF(Responses!AE122="Agak Benar",1,0)))</f>
        <v>2</v>
      </c>
      <c r="AF122" s="20">
        <f t="shared" si="36"/>
        <v>0</v>
      </c>
      <c r="AG122" s="20">
        <f t="shared" si="37"/>
        <v>3</v>
      </c>
      <c r="AH122" s="20">
        <f t="shared" si="38"/>
        <v>2</v>
      </c>
      <c r="AI122" s="20">
        <f t="shared" si="39"/>
        <v>5</v>
      </c>
      <c r="AJ122" s="20">
        <f t="shared" si="40"/>
        <v>9</v>
      </c>
      <c r="AK122" s="20" t="str">
        <f t="shared" si="41"/>
        <v>Normal</v>
      </c>
      <c r="AL122" s="20" t="str">
        <f t="shared" si="42"/>
        <v>Normal</v>
      </c>
      <c r="AM122" s="20" t="str">
        <f t="shared" si="43"/>
        <v>Normal</v>
      </c>
      <c r="AN122" s="20" t="str">
        <f t="shared" si="44"/>
        <v>Borderline</v>
      </c>
      <c r="AO122" s="20" t="str">
        <f t="shared" si="45"/>
        <v>Normal</v>
      </c>
      <c r="AP122" s="20">
        <f t="shared" si="34"/>
        <v>10</v>
      </c>
      <c r="AQ122" s="20" t="str">
        <f t="shared" si="35"/>
        <v>Normal</v>
      </c>
    </row>
    <row r="123" spans="1:43" x14ac:dyDescent="0.3">
      <c r="A123" s="19" t="str">
        <f>Responses!A123</f>
        <v>q5D2rA7</v>
      </c>
      <c r="B123" s="19" t="str">
        <f>Responses!B123</f>
        <v>KYP7PYD</v>
      </c>
      <c r="C123" s="19">
        <f>Responses!C123</f>
        <v>46136.129791666674</v>
      </c>
      <c r="D123" s="19" t="str">
        <f>Responses!D123</f>
        <v xml:space="preserve">faden </v>
      </c>
      <c r="E123" s="19" t="str">
        <f>Responses!E123</f>
        <v>XI-4</v>
      </c>
      <c r="F123" s="19">
        <f>Responses!F123</f>
        <v>16</v>
      </c>
      <c r="G123" s="8">
        <f>IF(Responses!G123="","",IF(Responses!G123="Benar",2,IF(Responses!G123="Agak Benar",1,0)))</f>
        <v>2</v>
      </c>
      <c r="H123" s="8">
        <f>IF(Responses!H123="","",IF(Responses!H123="Benar",2,IF(Responses!H123="Agak Benar",1,0)))</f>
        <v>2</v>
      </c>
      <c r="I123" s="8">
        <f>IF(Responses!I123="","",IF(Responses!I123="Benar",2,IF(Responses!I123="Agak Benar",1,0)))</f>
        <v>0</v>
      </c>
      <c r="J123" s="8">
        <f>IF(Responses!J123="","",IF(Responses!J123="Benar",2,IF(Responses!J123="Agak Benar",1,0)))</f>
        <v>2</v>
      </c>
      <c r="K123" s="8">
        <f>IF(Responses!K123="","",IF(Responses!K123="Benar",2,IF(Responses!K123="Agak Benar",1,0)))</f>
        <v>1</v>
      </c>
      <c r="L123" s="8">
        <f>IF(Responses!L123="","",IF(Responses!L123="Benar",2,IF(Responses!L123="Agak Benar",1,0)))</f>
        <v>1</v>
      </c>
      <c r="M123" s="8">
        <f>IF(Responses!M123="","",IF(Responses!M123="Tidak Benar",2,IF(Responses!M123="Agak Benar",1,0)))</f>
        <v>1</v>
      </c>
      <c r="N123" s="8">
        <f>IF(Responses!N123="","",IF(Responses!N123="Benar",2,IF(Responses!N123="Agak Benar",1,0)))</f>
        <v>1</v>
      </c>
      <c r="O123" s="8">
        <f>IF(Responses!O123="","",IF(Responses!O123="Benar",2,IF(Responses!O123="Agak Benar",1,0)))</f>
        <v>2</v>
      </c>
      <c r="P123" s="8">
        <f>IF(Responses!P123="","",IF(Responses!P123="Benar",2,IF(Responses!P123="Agak Benar",1,0)))</f>
        <v>2</v>
      </c>
      <c r="Q123" s="8">
        <f>IF(Responses!Q123="","",IF(Responses!Q123="Tidak Benar",2,IF(Responses!Q123="Agak Benar",1,0)))</f>
        <v>0</v>
      </c>
      <c r="R123" s="8">
        <f>IF(Responses!R123="","",IF(Responses!R123="Benar",2,IF(Responses!R123="Agak Benar",1,0)))</f>
        <v>2</v>
      </c>
      <c r="S123" s="8">
        <f>IF(Responses!S123="","",IF(Responses!S123="Benar",2,IF(Responses!S123="Agak Benar",1,0)))</f>
        <v>1</v>
      </c>
      <c r="T123" s="8">
        <f>IF(Responses!T123="","",IF(Responses!T123="Tidak Benar",2,IF(Responses!T123="Agak Benar",1,0)))</f>
        <v>0</v>
      </c>
      <c r="U123" s="8">
        <f>IF(Responses!U123="","",IF(Responses!U123="Benar",2,IF(Responses!U123="Agak Benar",1,0)))</f>
        <v>2</v>
      </c>
      <c r="V123" s="8">
        <f>IF(Responses!V123="","",IF(Responses!V123="Benar",2,IF(Responses!V123="Agak Benar",1,0)))</f>
        <v>1</v>
      </c>
      <c r="W123" s="8">
        <f>IF(Responses!W123="","",IF(Responses!W123="Benar",2,IF(Responses!W123="Agak Benar",1,0)))</f>
        <v>1</v>
      </c>
      <c r="X123" s="8">
        <f>IF(Responses!X123="","",IF(Responses!X123="Benar",2,IF(Responses!X123="Agak Benar",1,0)))</f>
        <v>1</v>
      </c>
      <c r="Y123" s="8">
        <f>IF(Responses!Y123="","",IF(Responses!Y123="Benar",2,IF(Responses!Y123="Agak Benar",1,0)))</f>
        <v>0</v>
      </c>
      <c r="Z123" s="8">
        <f>IF(Responses!Z123="","",IF(Responses!Z123="Benar",2,IF(Responses!Z123="Agak Benar",1,0)))</f>
        <v>2</v>
      </c>
      <c r="AA123" s="8">
        <f>IF(Responses!AA123="","",IF(Responses!AA123="Tidak Benar",2,IF(Responses!AA123="Agak Benar",1,0)))</f>
        <v>0</v>
      </c>
      <c r="AB123" s="8">
        <f>IF(Responses!AB123="","",IF(Responses!AB123="Benar",2,IF(Responses!AB123="Agak Benar",1,0)))</f>
        <v>0</v>
      </c>
      <c r="AC123" s="8">
        <f>IF(Responses!AC123="","",IF(Responses!AC123="Benar",2,IF(Responses!AC123="Agak Benar",1,0)))</f>
        <v>1</v>
      </c>
      <c r="AD123" s="8">
        <f>IF(Responses!AD123="","",IF(Responses!AD123="Benar",2,IF(Responses!AD123="Agak Benar",1,0)))</f>
        <v>0</v>
      </c>
      <c r="AE123" s="8">
        <f>IF(Responses!AE123="","",IF(Responses!AE123="Tidak Benar",2,IF(Responses!AE123="Agak Benar",1,0)))</f>
        <v>0</v>
      </c>
      <c r="AF123" s="20">
        <f t="shared" si="36"/>
        <v>3</v>
      </c>
      <c r="AG123" s="20">
        <f t="shared" si="37"/>
        <v>5</v>
      </c>
      <c r="AH123" s="20">
        <f t="shared" si="38"/>
        <v>6</v>
      </c>
      <c r="AI123" s="20">
        <f t="shared" si="39"/>
        <v>2</v>
      </c>
      <c r="AJ123" s="20">
        <f t="shared" si="40"/>
        <v>9</v>
      </c>
      <c r="AK123" s="20" t="str">
        <f t="shared" si="41"/>
        <v>Normal</v>
      </c>
      <c r="AL123" s="20" t="str">
        <f t="shared" si="42"/>
        <v>Abnormal</v>
      </c>
      <c r="AM123" s="20" t="str">
        <f t="shared" si="43"/>
        <v>Borderline</v>
      </c>
      <c r="AN123" s="20" t="str">
        <f t="shared" si="44"/>
        <v>Normal</v>
      </c>
      <c r="AO123" s="20" t="str">
        <f t="shared" si="45"/>
        <v>Normal</v>
      </c>
      <c r="AP123" s="20">
        <f t="shared" si="34"/>
        <v>16</v>
      </c>
      <c r="AQ123" s="20" t="str">
        <f t="shared" si="35"/>
        <v>Borderline</v>
      </c>
    </row>
    <row r="124" spans="1:43" x14ac:dyDescent="0.3">
      <c r="A124" s="19" t="str">
        <f>Responses!A124</f>
        <v>zEyap8k</v>
      </c>
      <c r="B124" s="19" t="str">
        <f>Responses!B124</f>
        <v>KYP7G8V</v>
      </c>
      <c r="C124" s="19">
        <f>Responses!C124</f>
        <v>46136.131180555552</v>
      </c>
      <c r="D124" s="19" t="str">
        <f>Responses!D124</f>
        <v>Fira Abellina Saputri</v>
      </c>
      <c r="E124" s="19" t="str">
        <f>Responses!E124</f>
        <v>XI-4</v>
      </c>
      <c r="F124" s="19">
        <f>Responses!F124</f>
        <v>17</v>
      </c>
      <c r="G124" s="8">
        <f>IF(Responses!G124="","",IF(Responses!G124="Benar",2,IF(Responses!G124="Agak Benar",1,0)))</f>
        <v>2</v>
      </c>
      <c r="H124" s="8">
        <f>IF(Responses!H124="","",IF(Responses!H124="Benar",2,IF(Responses!H124="Agak Benar",1,0)))</f>
        <v>1</v>
      </c>
      <c r="I124" s="8">
        <f>IF(Responses!I124="","",IF(Responses!I124="Benar",2,IF(Responses!I124="Agak Benar",1,0)))</f>
        <v>0</v>
      </c>
      <c r="J124" s="8">
        <f>IF(Responses!J124="","",IF(Responses!J124="Benar",2,IF(Responses!J124="Agak Benar",1,0)))</f>
        <v>2</v>
      </c>
      <c r="K124" s="8">
        <f>IF(Responses!K124="","",IF(Responses!K124="Benar",2,IF(Responses!K124="Agak Benar",1,0)))</f>
        <v>0</v>
      </c>
      <c r="L124" s="8">
        <f>IF(Responses!L124="","",IF(Responses!L124="Benar",2,IF(Responses!L124="Agak Benar",1,0)))</f>
        <v>0</v>
      </c>
      <c r="M124" s="8">
        <f>IF(Responses!M124="","",IF(Responses!M124="Tidak Benar",2,IF(Responses!M124="Agak Benar",1,0)))</f>
        <v>1</v>
      </c>
      <c r="N124" s="8">
        <f>IF(Responses!N124="","",IF(Responses!N124="Benar",2,IF(Responses!N124="Agak Benar",1,0)))</f>
        <v>1</v>
      </c>
      <c r="O124" s="8">
        <f>IF(Responses!O124="","",IF(Responses!O124="Benar",2,IF(Responses!O124="Agak Benar",1,0)))</f>
        <v>2</v>
      </c>
      <c r="P124" s="8">
        <f>IF(Responses!P124="","",IF(Responses!P124="Benar",2,IF(Responses!P124="Agak Benar",1,0)))</f>
        <v>0</v>
      </c>
      <c r="Q124" s="8">
        <f>IF(Responses!Q124="","",IF(Responses!Q124="Tidak Benar",2,IF(Responses!Q124="Agak Benar",1,0)))</f>
        <v>0</v>
      </c>
      <c r="R124" s="8">
        <f>IF(Responses!R124="","",IF(Responses!R124="Benar",2,IF(Responses!R124="Agak Benar",1,0)))</f>
        <v>0</v>
      </c>
      <c r="S124" s="8">
        <f>IF(Responses!S124="","",IF(Responses!S124="Benar",2,IF(Responses!S124="Agak Benar",1,0)))</f>
        <v>0</v>
      </c>
      <c r="T124" s="8">
        <f>IF(Responses!T124="","",IF(Responses!T124="Tidak Benar",2,IF(Responses!T124="Agak Benar",1,0)))</f>
        <v>1</v>
      </c>
      <c r="U124" s="8">
        <f>IF(Responses!U124="","",IF(Responses!U124="Benar",2,IF(Responses!U124="Agak Benar",1,0)))</f>
        <v>0</v>
      </c>
      <c r="V124" s="8">
        <f>IF(Responses!V124="","",IF(Responses!V124="Benar",2,IF(Responses!V124="Agak Benar",1,0)))</f>
        <v>0</v>
      </c>
      <c r="W124" s="8">
        <f>IF(Responses!W124="","",IF(Responses!W124="Benar",2,IF(Responses!W124="Agak Benar",1,0)))</f>
        <v>2</v>
      </c>
      <c r="X124" s="8">
        <f>IF(Responses!X124="","",IF(Responses!X124="Benar",2,IF(Responses!X124="Agak Benar",1,0)))</f>
        <v>0</v>
      </c>
      <c r="Y124" s="8">
        <f>IF(Responses!Y124="","",IF(Responses!Y124="Benar",2,IF(Responses!Y124="Agak Benar",1,0)))</f>
        <v>0</v>
      </c>
      <c r="Z124" s="8">
        <f>IF(Responses!Z124="","",IF(Responses!Z124="Benar",2,IF(Responses!Z124="Agak Benar",1,0)))</f>
        <v>1</v>
      </c>
      <c r="AA124" s="8">
        <f>IF(Responses!AA124="","",IF(Responses!AA124="Tidak Benar",2,IF(Responses!AA124="Agak Benar",1,0)))</f>
        <v>0</v>
      </c>
      <c r="AB124" s="8">
        <f>IF(Responses!AB124="","",IF(Responses!AB124="Benar",2,IF(Responses!AB124="Agak Benar",1,0)))</f>
        <v>0</v>
      </c>
      <c r="AC124" s="8">
        <f>IF(Responses!AC124="","",IF(Responses!AC124="Benar",2,IF(Responses!AC124="Agak Benar",1,0)))</f>
        <v>1</v>
      </c>
      <c r="AD124" s="8">
        <f>IF(Responses!AD124="","",IF(Responses!AD124="Benar",2,IF(Responses!AD124="Agak Benar",1,0)))</f>
        <v>0</v>
      </c>
      <c r="AE124" s="8">
        <f>IF(Responses!AE124="","",IF(Responses!AE124="Tidak Benar",2,IF(Responses!AE124="Agak Benar",1,0)))</f>
        <v>0</v>
      </c>
      <c r="AF124" s="20">
        <f t="shared" si="36"/>
        <v>1</v>
      </c>
      <c r="AG124" s="20">
        <f t="shared" si="37"/>
        <v>1</v>
      </c>
      <c r="AH124" s="20">
        <f t="shared" si="38"/>
        <v>1</v>
      </c>
      <c r="AI124" s="20">
        <f t="shared" si="39"/>
        <v>2</v>
      </c>
      <c r="AJ124" s="20">
        <f t="shared" si="40"/>
        <v>9</v>
      </c>
      <c r="AK124" s="20" t="str">
        <f t="shared" si="41"/>
        <v>Normal</v>
      </c>
      <c r="AL124" s="20" t="str">
        <f t="shared" si="42"/>
        <v>Normal</v>
      </c>
      <c r="AM124" s="20" t="str">
        <f t="shared" si="43"/>
        <v>Normal</v>
      </c>
      <c r="AN124" s="20" t="str">
        <f t="shared" si="44"/>
        <v>Normal</v>
      </c>
      <c r="AO124" s="20" t="str">
        <f t="shared" si="45"/>
        <v>Normal</v>
      </c>
      <c r="AP124" s="20">
        <f t="shared" si="34"/>
        <v>5</v>
      </c>
      <c r="AQ124" s="20" t="str">
        <f t="shared" si="35"/>
        <v>Normal</v>
      </c>
    </row>
    <row r="125" spans="1:43" x14ac:dyDescent="0.3">
      <c r="A125" s="19" t="str">
        <f>Responses!A125</f>
        <v>xVMkVAy</v>
      </c>
      <c r="B125" s="19" t="str">
        <f>Responses!B125</f>
        <v>5Bl6QEd</v>
      </c>
      <c r="C125" s="19">
        <f>Responses!C125</f>
        <v>46136.131828703707</v>
      </c>
      <c r="D125" s="19" t="str">
        <f>Responses!D125</f>
        <v xml:space="preserve">Ahmad Faiq Putra Oemardi </v>
      </c>
      <c r="E125" s="19" t="str">
        <f>Responses!E125</f>
        <v>XI-4</v>
      </c>
      <c r="F125" s="19">
        <f>Responses!F125</f>
        <v>17</v>
      </c>
      <c r="G125" s="8">
        <f>IF(Responses!G125="","",IF(Responses!G125="Benar",2,IF(Responses!G125="Agak Benar",1,0)))</f>
        <v>2</v>
      </c>
      <c r="H125" s="8">
        <f>IF(Responses!H125="","",IF(Responses!H125="Benar",2,IF(Responses!H125="Agak Benar",1,0)))</f>
        <v>2</v>
      </c>
      <c r="I125" s="8">
        <f>IF(Responses!I125="","",IF(Responses!I125="Benar",2,IF(Responses!I125="Agak Benar",1,0)))</f>
        <v>0</v>
      </c>
      <c r="J125" s="8">
        <f>IF(Responses!J125="","",IF(Responses!J125="Benar",2,IF(Responses!J125="Agak Benar",1,0)))</f>
        <v>2</v>
      </c>
      <c r="K125" s="8">
        <f>IF(Responses!K125="","",IF(Responses!K125="Benar",2,IF(Responses!K125="Agak Benar",1,0)))</f>
        <v>0</v>
      </c>
      <c r="L125" s="8">
        <f>IF(Responses!L125="","",IF(Responses!L125="Benar",2,IF(Responses!L125="Agak Benar",1,0)))</f>
        <v>0</v>
      </c>
      <c r="M125" s="8">
        <f>IF(Responses!M125="","",IF(Responses!M125="Tidak Benar",2,IF(Responses!M125="Agak Benar",1,0)))</f>
        <v>1</v>
      </c>
      <c r="N125" s="8">
        <f>IF(Responses!N125="","",IF(Responses!N125="Benar",2,IF(Responses!N125="Agak Benar",1,0)))</f>
        <v>1</v>
      </c>
      <c r="O125" s="8">
        <f>IF(Responses!O125="","",IF(Responses!O125="Benar",2,IF(Responses!O125="Agak Benar",1,0)))</f>
        <v>2</v>
      </c>
      <c r="P125" s="8">
        <f>IF(Responses!P125="","",IF(Responses!P125="Benar",2,IF(Responses!P125="Agak Benar",1,0)))</f>
        <v>2</v>
      </c>
      <c r="Q125" s="8">
        <f>IF(Responses!Q125="","",IF(Responses!Q125="Tidak Benar",2,IF(Responses!Q125="Agak Benar",1,0)))</f>
        <v>0</v>
      </c>
      <c r="R125" s="8">
        <f>IF(Responses!R125="","",IF(Responses!R125="Benar",2,IF(Responses!R125="Agak Benar",1,0)))</f>
        <v>0</v>
      </c>
      <c r="S125" s="8">
        <f>IF(Responses!S125="","",IF(Responses!S125="Benar",2,IF(Responses!S125="Agak Benar",1,0)))</f>
        <v>0</v>
      </c>
      <c r="T125" s="8">
        <f>IF(Responses!T125="","",IF(Responses!T125="Tidak Benar",2,IF(Responses!T125="Agak Benar",1,0)))</f>
        <v>2</v>
      </c>
      <c r="U125" s="8">
        <f>IF(Responses!U125="","",IF(Responses!U125="Benar",2,IF(Responses!U125="Agak Benar",1,0)))</f>
        <v>2</v>
      </c>
      <c r="V125" s="8">
        <f>IF(Responses!V125="","",IF(Responses!V125="Benar",2,IF(Responses!V125="Agak Benar",1,0)))</f>
        <v>2</v>
      </c>
      <c r="W125" s="8">
        <f>IF(Responses!W125="","",IF(Responses!W125="Benar",2,IF(Responses!W125="Agak Benar",1,0)))</f>
        <v>2</v>
      </c>
      <c r="X125" s="8">
        <f>IF(Responses!X125="","",IF(Responses!X125="Benar",2,IF(Responses!X125="Agak Benar",1,0)))</f>
        <v>0</v>
      </c>
      <c r="Y125" s="8">
        <f>IF(Responses!Y125="","",IF(Responses!Y125="Benar",2,IF(Responses!Y125="Agak Benar",1,0)))</f>
        <v>0</v>
      </c>
      <c r="Z125" s="8">
        <f>IF(Responses!Z125="","",IF(Responses!Z125="Benar",2,IF(Responses!Z125="Agak Benar",1,0)))</f>
        <v>2</v>
      </c>
      <c r="AA125" s="8">
        <f>IF(Responses!AA125="","",IF(Responses!AA125="Tidak Benar",2,IF(Responses!AA125="Agak Benar",1,0)))</f>
        <v>0</v>
      </c>
      <c r="AB125" s="8">
        <f>IF(Responses!AB125="","",IF(Responses!AB125="Benar",2,IF(Responses!AB125="Agak Benar",1,0)))</f>
        <v>0</v>
      </c>
      <c r="AC125" s="8">
        <f>IF(Responses!AC125="","",IF(Responses!AC125="Benar",2,IF(Responses!AC125="Agak Benar",1,0)))</f>
        <v>2</v>
      </c>
      <c r="AD125" s="8">
        <f>IF(Responses!AD125="","",IF(Responses!AD125="Benar",2,IF(Responses!AD125="Agak Benar",1,0)))</f>
        <v>2</v>
      </c>
      <c r="AE125" s="8">
        <f>IF(Responses!AE125="","",IF(Responses!AE125="Tidak Benar",2,IF(Responses!AE125="Agak Benar",1,0)))</f>
        <v>0</v>
      </c>
      <c r="AF125" s="20">
        <f t="shared" si="36"/>
        <v>5</v>
      </c>
      <c r="AG125" s="20">
        <f t="shared" si="37"/>
        <v>1</v>
      </c>
      <c r="AH125" s="20">
        <f t="shared" si="38"/>
        <v>6</v>
      </c>
      <c r="AI125" s="20">
        <f t="shared" si="39"/>
        <v>4</v>
      </c>
      <c r="AJ125" s="20">
        <f t="shared" si="40"/>
        <v>10</v>
      </c>
      <c r="AK125" s="20" t="str">
        <f t="shared" si="41"/>
        <v>Normal</v>
      </c>
      <c r="AL125" s="20" t="str">
        <f t="shared" si="42"/>
        <v>Normal</v>
      </c>
      <c r="AM125" s="20" t="str">
        <f t="shared" si="43"/>
        <v>Borderline</v>
      </c>
      <c r="AN125" s="20" t="str">
        <f t="shared" si="44"/>
        <v>Borderline</v>
      </c>
      <c r="AO125" s="20" t="str">
        <f t="shared" si="45"/>
        <v>Normal</v>
      </c>
      <c r="AP125" s="20">
        <f t="shared" si="34"/>
        <v>16</v>
      </c>
      <c r="AQ125" s="20" t="str">
        <f t="shared" si="35"/>
        <v>Borderline</v>
      </c>
    </row>
    <row r="126" spans="1:43" x14ac:dyDescent="0.3">
      <c r="A126" s="19" t="str">
        <f>Responses!A126</f>
        <v>VpQR0lv</v>
      </c>
      <c r="B126" s="19" t="str">
        <f>Responses!B126</f>
        <v>WOeGadv</v>
      </c>
      <c r="C126" s="19">
        <f>Responses!C126</f>
        <v>46136.133391203701</v>
      </c>
      <c r="D126" s="19" t="str">
        <f>Responses!D126</f>
        <v>M Nadzhif Habibul M</v>
      </c>
      <c r="E126" s="19" t="str">
        <f>Responses!E126</f>
        <v>XI-4</v>
      </c>
      <c r="F126" s="19">
        <f>Responses!F126</f>
        <v>17</v>
      </c>
      <c r="G126" s="8">
        <f>IF(Responses!G126="","",IF(Responses!G126="Benar",2,IF(Responses!G126="Agak Benar",1,0)))</f>
        <v>2</v>
      </c>
      <c r="H126" s="8">
        <f>IF(Responses!H126="","",IF(Responses!H126="Benar",2,IF(Responses!H126="Agak Benar",1,0)))</f>
        <v>2</v>
      </c>
      <c r="I126" s="8">
        <f>IF(Responses!I126="","",IF(Responses!I126="Benar",2,IF(Responses!I126="Agak Benar",1,0)))</f>
        <v>0</v>
      </c>
      <c r="J126" s="8">
        <f>IF(Responses!J126="","",IF(Responses!J126="Benar",2,IF(Responses!J126="Agak Benar",1,0)))</f>
        <v>2</v>
      </c>
      <c r="K126" s="8">
        <f>IF(Responses!K126="","",IF(Responses!K126="Benar",2,IF(Responses!K126="Agak Benar",1,0)))</f>
        <v>1</v>
      </c>
      <c r="L126" s="8">
        <f>IF(Responses!L126="","",IF(Responses!L126="Benar",2,IF(Responses!L126="Agak Benar",1,0)))</f>
        <v>0</v>
      </c>
      <c r="M126" s="8">
        <f>IF(Responses!M126="","",IF(Responses!M126="Tidak Benar",2,IF(Responses!M126="Agak Benar",1,0)))</f>
        <v>2</v>
      </c>
      <c r="N126" s="8">
        <f>IF(Responses!N126="","",IF(Responses!N126="Benar",2,IF(Responses!N126="Agak Benar",1,0)))</f>
        <v>1</v>
      </c>
      <c r="O126" s="8">
        <f>IF(Responses!O126="","",IF(Responses!O126="Benar",2,IF(Responses!O126="Agak Benar",1,0)))</f>
        <v>2</v>
      </c>
      <c r="P126" s="8">
        <f>IF(Responses!P126="","",IF(Responses!P126="Benar",2,IF(Responses!P126="Agak Benar",1,0)))</f>
        <v>0</v>
      </c>
      <c r="Q126" s="8">
        <f>IF(Responses!Q126="","",IF(Responses!Q126="Tidak Benar",2,IF(Responses!Q126="Agak Benar",1,0)))</f>
        <v>0</v>
      </c>
      <c r="R126" s="8">
        <f>IF(Responses!R126="","",IF(Responses!R126="Benar",2,IF(Responses!R126="Agak Benar",1,0)))</f>
        <v>1</v>
      </c>
      <c r="S126" s="8">
        <f>IF(Responses!S126="","",IF(Responses!S126="Benar",2,IF(Responses!S126="Agak Benar",1,0)))</f>
        <v>1</v>
      </c>
      <c r="T126" s="8">
        <f>IF(Responses!T126="","",IF(Responses!T126="Tidak Benar",2,IF(Responses!T126="Agak Benar",1,0)))</f>
        <v>1</v>
      </c>
      <c r="U126" s="8">
        <f>IF(Responses!U126="","",IF(Responses!U126="Benar",2,IF(Responses!U126="Agak Benar",1,0)))</f>
        <v>1</v>
      </c>
      <c r="V126" s="8">
        <f>IF(Responses!V126="","",IF(Responses!V126="Benar",2,IF(Responses!V126="Agak Benar",1,0)))</f>
        <v>1</v>
      </c>
      <c r="W126" s="8">
        <f>IF(Responses!W126="","",IF(Responses!W126="Benar",2,IF(Responses!W126="Agak Benar",1,0)))</f>
        <v>2</v>
      </c>
      <c r="X126" s="8">
        <f>IF(Responses!X126="","",IF(Responses!X126="Benar",2,IF(Responses!X126="Agak Benar",1,0)))</f>
        <v>0</v>
      </c>
      <c r="Y126" s="8">
        <f>IF(Responses!Y126="","",IF(Responses!Y126="Benar",2,IF(Responses!Y126="Agak Benar",1,0)))</f>
        <v>0</v>
      </c>
      <c r="Z126" s="8">
        <f>IF(Responses!Z126="","",IF(Responses!Z126="Benar",2,IF(Responses!Z126="Agak Benar",1,0)))</f>
        <v>1</v>
      </c>
      <c r="AA126" s="8">
        <f>IF(Responses!AA126="","",IF(Responses!AA126="Tidak Benar",2,IF(Responses!AA126="Agak Benar",1,0)))</f>
        <v>0</v>
      </c>
      <c r="AB126" s="8">
        <f>IF(Responses!AB126="","",IF(Responses!AB126="Benar",2,IF(Responses!AB126="Agak Benar",1,0)))</f>
        <v>0</v>
      </c>
      <c r="AC126" s="8">
        <f>IF(Responses!AC126="","",IF(Responses!AC126="Benar",2,IF(Responses!AC126="Agak Benar",1,0)))</f>
        <v>1</v>
      </c>
      <c r="AD126" s="8">
        <f>IF(Responses!AD126="","",IF(Responses!AD126="Benar",2,IF(Responses!AD126="Agak Benar",1,0)))</f>
        <v>0</v>
      </c>
      <c r="AE126" s="8">
        <f>IF(Responses!AE126="","",IF(Responses!AE126="Tidak Benar",2,IF(Responses!AE126="Agak Benar",1,0)))</f>
        <v>0</v>
      </c>
      <c r="AF126" s="20">
        <f t="shared" si="36"/>
        <v>3</v>
      </c>
      <c r="AG126" s="20">
        <f t="shared" si="37"/>
        <v>4</v>
      </c>
      <c r="AH126" s="20">
        <f t="shared" si="38"/>
        <v>3</v>
      </c>
      <c r="AI126" s="20">
        <f t="shared" si="39"/>
        <v>2</v>
      </c>
      <c r="AJ126" s="20">
        <f t="shared" si="40"/>
        <v>9</v>
      </c>
      <c r="AK126" s="20" t="str">
        <f t="shared" si="41"/>
        <v>Normal</v>
      </c>
      <c r="AL126" s="20" t="str">
        <f t="shared" si="42"/>
        <v>Borderline</v>
      </c>
      <c r="AM126" s="20" t="str">
        <f t="shared" si="43"/>
        <v>Normal</v>
      </c>
      <c r="AN126" s="20" t="str">
        <f t="shared" si="44"/>
        <v>Normal</v>
      </c>
      <c r="AO126" s="20" t="str">
        <f t="shared" si="45"/>
        <v>Normal</v>
      </c>
      <c r="AP126" s="20">
        <f t="shared" si="34"/>
        <v>12</v>
      </c>
      <c r="AQ126" s="20" t="str">
        <f t="shared" si="35"/>
        <v>Normal</v>
      </c>
    </row>
    <row r="127" spans="1:43" x14ac:dyDescent="0.3">
      <c r="A127" s="19" t="str">
        <f>Responses!A127</f>
        <v>Gepxgbz</v>
      </c>
      <c r="B127" s="19" t="str">
        <f>Responses!B127</f>
        <v>zxWENP0</v>
      </c>
      <c r="C127" s="19">
        <f>Responses!C127</f>
        <v>46136.155532407407</v>
      </c>
      <c r="D127" s="19" t="str">
        <f>Responses!D127</f>
        <v>Safira Rahma Rajabiya</v>
      </c>
      <c r="E127" s="19" t="str">
        <f>Responses!E127</f>
        <v>XI-2</v>
      </c>
      <c r="F127" s="19">
        <f>Responses!F127</f>
        <v>16</v>
      </c>
      <c r="G127" s="8">
        <f>IF(Responses!G127="","",IF(Responses!G127="Benar",2,IF(Responses!G127="Agak Benar",1,0)))</f>
        <v>2</v>
      </c>
      <c r="H127" s="8">
        <f>IF(Responses!H127="","",IF(Responses!H127="Benar",2,IF(Responses!H127="Agak Benar",1,0)))</f>
        <v>0</v>
      </c>
      <c r="I127" s="8">
        <f>IF(Responses!I127="","",IF(Responses!I127="Benar",2,IF(Responses!I127="Agak Benar",1,0)))</f>
        <v>1</v>
      </c>
      <c r="J127" s="8">
        <f>IF(Responses!J127="","",IF(Responses!J127="Benar",2,IF(Responses!J127="Agak Benar",1,0)))</f>
        <v>1</v>
      </c>
      <c r="K127" s="8">
        <f>IF(Responses!K127="","",IF(Responses!K127="Benar",2,IF(Responses!K127="Agak Benar",1,0)))</f>
        <v>1</v>
      </c>
      <c r="L127" s="8">
        <f>IF(Responses!L127="","",IF(Responses!L127="Benar",2,IF(Responses!L127="Agak Benar",1,0)))</f>
        <v>0</v>
      </c>
      <c r="M127" s="8">
        <f>IF(Responses!M127="","",IF(Responses!M127="Tidak Benar",2,IF(Responses!M127="Agak Benar",1,0)))</f>
        <v>1</v>
      </c>
      <c r="N127" s="8">
        <f>IF(Responses!N127="","",IF(Responses!N127="Benar",2,IF(Responses!N127="Agak Benar",1,0)))</f>
        <v>1</v>
      </c>
      <c r="O127" s="8">
        <f>IF(Responses!O127="","",IF(Responses!O127="Benar",2,IF(Responses!O127="Agak Benar",1,0)))</f>
        <v>2</v>
      </c>
      <c r="P127" s="8">
        <f>IF(Responses!P127="","",IF(Responses!P127="Benar",2,IF(Responses!P127="Agak Benar",1,0)))</f>
        <v>1</v>
      </c>
      <c r="Q127" s="8">
        <f>IF(Responses!Q127="","",IF(Responses!Q127="Tidak Benar",2,IF(Responses!Q127="Agak Benar",1,0)))</f>
        <v>0</v>
      </c>
      <c r="R127" s="8">
        <f>IF(Responses!R127="","",IF(Responses!R127="Benar",2,IF(Responses!R127="Agak Benar",1,0)))</f>
        <v>0</v>
      </c>
      <c r="S127" s="8">
        <f>IF(Responses!S127="","",IF(Responses!S127="Benar",2,IF(Responses!S127="Agak Benar",1,0)))</f>
        <v>1</v>
      </c>
      <c r="T127" s="8">
        <f>IF(Responses!T127="","",IF(Responses!T127="Tidak Benar",2,IF(Responses!T127="Agak Benar",1,0)))</f>
        <v>1</v>
      </c>
      <c r="U127" s="8">
        <f>IF(Responses!U127="","",IF(Responses!U127="Benar",2,IF(Responses!U127="Agak Benar",1,0)))</f>
        <v>0</v>
      </c>
      <c r="V127" s="8">
        <f>IF(Responses!V127="","",IF(Responses!V127="Benar",2,IF(Responses!V127="Agak Benar",1,0)))</f>
        <v>1</v>
      </c>
      <c r="W127" s="8">
        <f>IF(Responses!W127="","",IF(Responses!W127="Benar",2,IF(Responses!W127="Agak Benar",1,0)))</f>
        <v>2</v>
      </c>
      <c r="X127" s="8">
        <f>IF(Responses!X127="","",IF(Responses!X127="Benar",2,IF(Responses!X127="Agak Benar",1,0)))</f>
        <v>0</v>
      </c>
      <c r="Y127" s="8">
        <f>IF(Responses!Y127="","",IF(Responses!Y127="Benar",2,IF(Responses!Y127="Agak Benar",1,0)))</f>
        <v>0</v>
      </c>
      <c r="Z127" s="8">
        <f>IF(Responses!Z127="","",IF(Responses!Z127="Benar",2,IF(Responses!Z127="Agak Benar",1,0)))</f>
        <v>2</v>
      </c>
      <c r="AA127" s="8">
        <f>IF(Responses!AA127="","",IF(Responses!AA127="Tidak Benar",2,IF(Responses!AA127="Agak Benar",1,0)))</f>
        <v>0</v>
      </c>
      <c r="AB127" s="8">
        <f>IF(Responses!AB127="","",IF(Responses!AB127="Benar",2,IF(Responses!AB127="Agak Benar",1,0)))</f>
        <v>0</v>
      </c>
      <c r="AC127" s="8">
        <f>IF(Responses!AC127="","",IF(Responses!AC127="Benar",2,IF(Responses!AC127="Agak Benar",1,0)))</f>
        <v>1</v>
      </c>
      <c r="AD127" s="8">
        <f>IF(Responses!AD127="","",IF(Responses!AD127="Benar",2,IF(Responses!AD127="Agak Benar",1,0)))</f>
        <v>2</v>
      </c>
      <c r="AE127" s="8">
        <f>IF(Responses!AE127="","",IF(Responses!AE127="Tidak Benar",2,IF(Responses!AE127="Agak Benar",1,0)))</f>
        <v>0</v>
      </c>
      <c r="AF127" s="20">
        <f t="shared" si="36"/>
        <v>6</v>
      </c>
      <c r="AG127" s="20">
        <f t="shared" si="37"/>
        <v>2</v>
      </c>
      <c r="AH127" s="20">
        <f t="shared" si="38"/>
        <v>1</v>
      </c>
      <c r="AI127" s="20">
        <f t="shared" si="39"/>
        <v>2</v>
      </c>
      <c r="AJ127" s="20">
        <f t="shared" si="40"/>
        <v>9</v>
      </c>
      <c r="AK127" s="20" t="str">
        <f t="shared" si="41"/>
        <v>Borderline</v>
      </c>
      <c r="AL127" s="20" t="str">
        <f t="shared" si="42"/>
        <v>Normal</v>
      </c>
      <c r="AM127" s="20" t="str">
        <f t="shared" si="43"/>
        <v>Normal</v>
      </c>
      <c r="AN127" s="20" t="str">
        <f t="shared" si="44"/>
        <v>Normal</v>
      </c>
      <c r="AO127" s="20" t="str">
        <f t="shared" si="45"/>
        <v>Normal</v>
      </c>
      <c r="AP127" s="20">
        <f t="shared" si="34"/>
        <v>11</v>
      </c>
      <c r="AQ127" s="20" t="str">
        <f t="shared" si="35"/>
        <v>Normal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7"/>
  <sheetViews>
    <sheetView showGridLines="0" workbookViewId="0">
      <pane xSplit="6" ySplit="1" topLeftCell="Q2" activePane="bottomRight" state="frozen"/>
      <selection pane="topRight"/>
      <selection pane="bottomLeft"/>
      <selection pane="bottomRight" activeCell="Q143" sqref="Q143"/>
    </sheetView>
  </sheetViews>
  <sheetFormatPr defaultRowHeight="14.4" x14ac:dyDescent="0.3"/>
  <cols>
    <col min="1" max="2" width="14" style="41" customWidth="1"/>
    <col min="3" max="3" width="18" style="41" customWidth="1"/>
    <col min="4" max="4" width="20" style="41" customWidth="1"/>
    <col min="5" max="5" width="10" style="41" customWidth="1"/>
    <col min="6" max="6" width="8" style="41" customWidth="1"/>
    <col min="7" max="24" width="9" style="41" customWidth="1"/>
    <col min="25" max="25" width="12" style="41" customWidth="1"/>
    <col min="26" max="26" width="43.33203125" style="41" customWidth="1"/>
  </cols>
  <sheetData>
    <row r="1" spans="1:26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474</v>
      </c>
      <c r="H1" s="7" t="s">
        <v>475</v>
      </c>
      <c r="I1" s="7" t="s">
        <v>476</v>
      </c>
      <c r="J1" s="7" t="s">
        <v>477</v>
      </c>
      <c r="K1" s="7" t="s">
        <v>478</v>
      </c>
      <c r="L1" s="7" t="s">
        <v>479</v>
      </c>
      <c r="M1" s="7" t="s">
        <v>480</v>
      </c>
      <c r="N1" s="7" t="s">
        <v>481</v>
      </c>
      <c r="O1" s="7" t="s">
        <v>482</v>
      </c>
      <c r="P1" s="7" t="s">
        <v>483</v>
      </c>
      <c r="Q1" s="7" t="s">
        <v>484</v>
      </c>
      <c r="R1" s="7" t="s">
        <v>485</v>
      </c>
      <c r="S1" s="7" t="s">
        <v>486</v>
      </c>
      <c r="T1" s="7" t="s">
        <v>487</v>
      </c>
      <c r="U1" s="7" t="s">
        <v>488</v>
      </c>
      <c r="V1" s="7" t="s">
        <v>489</v>
      </c>
      <c r="W1" s="7" t="s">
        <v>490</v>
      </c>
      <c r="X1" s="7" t="s">
        <v>491</v>
      </c>
      <c r="Y1" s="21" t="s">
        <v>492</v>
      </c>
      <c r="Z1" s="18" t="s">
        <v>493</v>
      </c>
    </row>
    <row r="2" spans="1:26" x14ac:dyDescent="0.3">
      <c r="A2" s="19" t="str">
        <f>Responses!A2</f>
        <v>rDaeWjv</v>
      </c>
      <c r="B2" s="19" t="str">
        <f>Responses!B2</f>
        <v>GxoM0Oz</v>
      </c>
      <c r="C2" s="19">
        <f>Responses!C2</f>
        <v>46136.090752314813</v>
      </c>
      <c r="D2" s="19" t="str">
        <f>Responses!D2</f>
        <v>Farasafa Alzeta</v>
      </c>
      <c r="E2" s="19" t="str">
        <f>Responses!E2</f>
        <v>XI-1</v>
      </c>
      <c r="F2" s="19">
        <f>Responses!F2</f>
        <v>17</v>
      </c>
      <c r="G2" s="8">
        <f>IF(Responses!AF2="","",IF(Responses!AF2="Selalu",4,IF(Responses!AF2="Sering",3,IF(Responses!AF2="Kadang - Kadang",2,IF(Responses!AF2="Jarang",1,0)))))</f>
        <v>3</v>
      </c>
      <c r="H2" s="8">
        <f>IF(Responses!AG2="","",IF(Responses!AG2="Selalu",4,IF(Responses!AG2="Sering",3,IF(Responses!AG2="Kadang - Kadang",2,IF(Responses!AG2="Jarang",1,0)))))</f>
        <v>2</v>
      </c>
      <c r="I2" s="8">
        <f>IF(Responses!AH2="","",IF(Responses!AH2="Selalu",4,IF(Responses!AH2="Sering",3,IF(Responses!AH2="Kadang - Kadang",2,IF(Responses!AH2="Jarang",1,0)))))</f>
        <v>2</v>
      </c>
      <c r="J2" s="8">
        <f>IF(Responses!AI2="","",IF(Responses!AI2="Selalu",4,IF(Responses!AI2="Sering",3,IF(Responses!AI2="Kadang - Kadang",2,IF(Responses!AI2="Jarang",1,0)))))</f>
        <v>1</v>
      </c>
      <c r="K2" s="8">
        <f>IF(Responses!AJ2="","",IF(Responses!AJ2="Selalu",4,IF(Responses!AJ2="Sering",3,IF(Responses!AJ2="Kadang - Kadang",2,IF(Responses!AJ2="Jarang",1,0)))))</f>
        <v>1</v>
      </c>
      <c r="L2" s="8">
        <f>IF(Responses!AK2="","",IF(Responses!AK2="Selalu",4,IF(Responses!AK2="Sering",3,IF(Responses!AK2="Kadang - Kadang",2,IF(Responses!AK2="Jarang",1,0)))))</f>
        <v>2</v>
      </c>
      <c r="M2" s="8">
        <f>IF(Responses!AL2="","",IF(Responses!AL2="Selalu",4,IF(Responses!AL2="Sering",3,IF(Responses!AL2="Kadang - Kadang",2,IF(Responses!AL2="Jarang",1,0)))))</f>
        <v>1</v>
      </c>
      <c r="N2" s="8">
        <f>IF(Responses!AM2="","",IF(Responses!AM2="Selalu",4,IF(Responses!AM2="Sering",3,IF(Responses!AM2="Kadang - Kadang",2,IF(Responses!AM2="Jarang",1,0)))))</f>
        <v>2</v>
      </c>
      <c r="O2" s="8">
        <f>IF(Responses!AN2="","",IF(Responses!AN2="Selalu",4,IF(Responses!AN2="Sering",3,IF(Responses!AN2="Kadang - Kadang",2,IF(Responses!AN2="Jarang",1,0)))))</f>
        <v>2</v>
      </c>
      <c r="P2" s="8">
        <f>IF(Responses!AO2="","",IF(Responses!AO2="Selalu",4,IF(Responses!AO2="Sering",3,IF(Responses!AO2="Kadang - Kadang",2,IF(Responses!AO2="Jarang",1,0)))))</f>
        <v>2</v>
      </c>
      <c r="Q2" s="8">
        <f>IF(Responses!AP2="","",IF(Responses!AP2="Selalu",4,IF(Responses!AP2="Sering",3,IF(Responses!AP2="Kadang - Kadang",2,IF(Responses!AP2="Jarang",1,0)))))</f>
        <v>3</v>
      </c>
      <c r="R2" s="8">
        <f>IF(Responses!AQ2="","",IF(Responses!AQ2="Selalu",4,IF(Responses!AQ2="Sering",3,IF(Responses!AQ2="Kadang - Kadang",2,IF(Responses!AQ2="Jarang",1,0)))))</f>
        <v>4</v>
      </c>
      <c r="S2" s="8">
        <f>IF(Responses!AR2="","",IF(Responses!AR2="Selalu",4,IF(Responses!AR2="Sering",3,IF(Responses!AR2="Kadang - Kadang",2,IF(Responses!AR2="Jarang",1,0)))))</f>
        <v>2</v>
      </c>
      <c r="T2" s="8">
        <f>IF(Responses!AS2="","",IF(Responses!AS2="Selalu",4,IF(Responses!AS2="Sering",3,IF(Responses!AS2="Kadang - Kadang",2,IF(Responses!AS2="Jarang",1,0)))))</f>
        <v>2</v>
      </c>
      <c r="U2" s="8">
        <f>IF(Responses!AT2="","",IF(Responses!AT2="Selalu",4,IF(Responses!AT2="Sering",3,IF(Responses!AT2="Kadang - Kadang",2,IF(Responses!AT2="Jarang",1,0)))))</f>
        <v>2</v>
      </c>
      <c r="V2" s="8">
        <f>IF(Responses!AU2="","",IF(Responses!AU2="Selalu",4,IF(Responses!AU2="Sering",3,IF(Responses!AU2="Kadang - Kadang",2,IF(Responses!AU2="Jarang",1,0)))))</f>
        <v>1</v>
      </c>
      <c r="W2" s="8">
        <f>IF(Responses!AV2="","",IF(Responses!AV2="Selalu",4,IF(Responses!AV2="Sering",3,IF(Responses!AV2="Kadang - Kadang",2,IF(Responses!AV2="Jarang",1,0)))))</f>
        <v>2</v>
      </c>
      <c r="X2" s="8">
        <f>IF(Responses!AW2="","",IF(Responses!AW2="Selalu",4,IF(Responses!AW2="Sering",3,IF(Responses!AW2="Kadang - Kadang",2,IF(Responses!AW2="Jarang",1,0)))))</f>
        <v>3</v>
      </c>
      <c r="Y2" s="20">
        <f t="shared" ref="Y2:Y33" si="0">IF(A2="","",G2+H2+I2+J2+K2+L2+M2+N2+O2+P2+Q2+R2+S2+T2+U2+V2+W2+X2)</f>
        <v>37</v>
      </c>
      <c r="Z2" s="22" t="str">
        <f t="shared" ref="Z2:Z33" si="1">IF(A2="","",IF(Y2&lt;30,"Tidak/Sedikit Kecanduan",IF(Y2&lt;=39,"Kecanduan Borderline",IF(Y2&lt;=59,"Kemungkinan Kecanduan","Kecanduan Signifikan"))))</f>
        <v>Kecanduan Borderline</v>
      </c>
    </row>
    <row r="3" spans="1:26" x14ac:dyDescent="0.3">
      <c r="A3" s="19" t="str">
        <f>Responses!A3</f>
        <v>gbdE1PN</v>
      </c>
      <c r="B3" s="19" t="str">
        <f>Responses!B3</f>
        <v>XxRjYOd</v>
      </c>
      <c r="C3" s="19">
        <f>Responses!C3</f>
        <v>46136.091111111113</v>
      </c>
      <c r="D3" s="19" t="str">
        <f>Responses!D3</f>
        <v>Habibah Putri Kawiswara</v>
      </c>
      <c r="E3" s="19" t="str">
        <f>Responses!E3</f>
        <v>XI-1</v>
      </c>
      <c r="F3" s="19">
        <f>Responses!F3</f>
        <v>11</v>
      </c>
      <c r="G3" s="8">
        <f>IF(Responses!AF3="","",IF(Responses!AF3="Selalu",4,IF(Responses!AF3="Sering",3,IF(Responses!AF3="Kadang - Kadang",2,IF(Responses!AF3="Jarang",1,0)))))</f>
        <v>4</v>
      </c>
      <c r="H3" s="8">
        <f>IF(Responses!AG3="","",IF(Responses!AG3="Selalu",4,IF(Responses!AG3="Sering",3,IF(Responses!AG3="Kadang - Kadang",2,IF(Responses!AG3="Jarang",1,0)))))</f>
        <v>4</v>
      </c>
      <c r="I3" s="8">
        <f>IF(Responses!AH3="","",IF(Responses!AH3="Selalu",4,IF(Responses!AH3="Sering",3,IF(Responses!AH3="Kadang - Kadang",2,IF(Responses!AH3="Jarang",1,0)))))</f>
        <v>4</v>
      </c>
      <c r="J3" s="8">
        <f>IF(Responses!AI3="","",IF(Responses!AI3="Selalu",4,IF(Responses!AI3="Sering",3,IF(Responses!AI3="Kadang - Kadang",2,IF(Responses!AI3="Jarang",1,0)))))</f>
        <v>2</v>
      </c>
      <c r="K3" s="8">
        <f>IF(Responses!AJ3="","",IF(Responses!AJ3="Selalu",4,IF(Responses!AJ3="Sering",3,IF(Responses!AJ3="Kadang - Kadang",2,IF(Responses!AJ3="Jarang",1,0)))))</f>
        <v>4</v>
      </c>
      <c r="L3" s="8">
        <f>IF(Responses!AK3="","",IF(Responses!AK3="Selalu",4,IF(Responses!AK3="Sering",3,IF(Responses!AK3="Kadang - Kadang",2,IF(Responses!AK3="Jarang",1,0)))))</f>
        <v>0</v>
      </c>
      <c r="M3" s="8">
        <f>IF(Responses!AL3="","",IF(Responses!AL3="Selalu",4,IF(Responses!AL3="Sering",3,IF(Responses!AL3="Kadang - Kadang",2,IF(Responses!AL3="Jarang",1,0)))))</f>
        <v>2</v>
      </c>
      <c r="N3" s="8">
        <f>IF(Responses!AM3="","",IF(Responses!AM3="Selalu",4,IF(Responses!AM3="Sering",3,IF(Responses!AM3="Kadang - Kadang",2,IF(Responses!AM3="Jarang",1,0)))))</f>
        <v>3</v>
      </c>
      <c r="O3" s="8">
        <f>IF(Responses!AN3="","",IF(Responses!AN3="Selalu",4,IF(Responses!AN3="Sering",3,IF(Responses!AN3="Kadang - Kadang",2,IF(Responses!AN3="Jarang",1,0)))))</f>
        <v>0</v>
      </c>
      <c r="P3" s="8">
        <f>IF(Responses!AO3="","",IF(Responses!AO3="Selalu",4,IF(Responses!AO3="Sering",3,IF(Responses!AO3="Kadang - Kadang",2,IF(Responses!AO3="Jarang",1,0)))))</f>
        <v>4</v>
      </c>
      <c r="Q3" s="8">
        <f>IF(Responses!AP3="","",IF(Responses!AP3="Selalu",4,IF(Responses!AP3="Sering",3,IF(Responses!AP3="Kadang - Kadang",2,IF(Responses!AP3="Jarang",1,0)))))</f>
        <v>4</v>
      </c>
      <c r="R3" s="8">
        <f>IF(Responses!AQ3="","",IF(Responses!AQ3="Selalu",4,IF(Responses!AQ3="Sering",3,IF(Responses!AQ3="Kadang - Kadang",2,IF(Responses!AQ3="Jarang",1,0)))))</f>
        <v>1</v>
      </c>
      <c r="S3" s="8">
        <f>IF(Responses!AR3="","",IF(Responses!AR3="Selalu",4,IF(Responses!AR3="Sering",3,IF(Responses!AR3="Kadang - Kadang",2,IF(Responses!AR3="Jarang",1,0)))))</f>
        <v>3</v>
      </c>
      <c r="T3" s="8">
        <f>IF(Responses!AS3="","",IF(Responses!AS3="Selalu",4,IF(Responses!AS3="Sering",3,IF(Responses!AS3="Kadang - Kadang",2,IF(Responses!AS3="Jarang",1,0)))))</f>
        <v>0</v>
      </c>
      <c r="U3" s="8">
        <f>IF(Responses!AT3="","",IF(Responses!AT3="Selalu",4,IF(Responses!AT3="Sering",3,IF(Responses!AT3="Kadang - Kadang",2,IF(Responses!AT3="Jarang",1,0)))))</f>
        <v>3</v>
      </c>
      <c r="V3" s="8">
        <f>IF(Responses!AU3="","",IF(Responses!AU3="Selalu",4,IF(Responses!AU3="Sering",3,IF(Responses!AU3="Kadang - Kadang",2,IF(Responses!AU3="Jarang",1,0)))))</f>
        <v>1</v>
      </c>
      <c r="W3" s="8">
        <f>IF(Responses!AV3="","",IF(Responses!AV3="Selalu",4,IF(Responses!AV3="Sering",3,IF(Responses!AV3="Kadang - Kadang",2,IF(Responses!AV3="Jarang",1,0)))))</f>
        <v>4</v>
      </c>
      <c r="X3" s="8">
        <f>IF(Responses!AW3="","",IF(Responses!AW3="Selalu",4,IF(Responses!AW3="Sering",3,IF(Responses!AW3="Kadang - Kadang",2,IF(Responses!AW3="Jarang",1,0)))))</f>
        <v>0</v>
      </c>
      <c r="Y3" s="20">
        <f t="shared" si="0"/>
        <v>43</v>
      </c>
      <c r="Z3" s="22" t="str">
        <f t="shared" si="1"/>
        <v>Kemungkinan Kecanduan</v>
      </c>
    </row>
    <row r="4" spans="1:26" x14ac:dyDescent="0.3">
      <c r="A4" s="19" t="str">
        <f>Responses!A4</f>
        <v>M1NW2Ol</v>
      </c>
      <c r="B4" s="19" t="str">
        <f>Responses!B4</f>
        <v>VL9r1r6</v>
      </c>
      <c r="C4" s="19">
        <f>Responses!C4</f>
        <v>46136.091643518521</v>
      </c>
      <c r="D4" s="19" t="str">
        <f>Responses!D4</f>
        <v>Julian</v>
      </c>
      <c r="E4" s="19" t="str">
        <f>Responses!E4</f>
        <v>XI-1</v>
      </c>
      <c r="F4" s="19">
        <f>Responses!F4</f>
        <v>16</v>
      </c>
      <c r="G4" s="8">
        <f>IF(Responses!AF4="","",IF(Responses!AF4="Selalu",4,IF(Responses!AF4="Sering",3,IF(Responses!AF4="Kadang - Kadang",2,IF(Responses!AF4="Jarang",1,0)))))</f>
        <v>2</v>
      </c>
      <c r="H4" s="8">
        <f>IF(Responses!AG4="","",IF(Responses!AG4="Selalu",4,IF(Responses!AG4="Sering",3,IF(Responses!AG4="Kadang - Kadang",2,IF(Responses!AG4="Jarang",1,0)))))</f>
        <v>3</v>
      </c>
      <c r="I4" s="8">
        <f>IF(Responses!AH4="","",IF(Responses!AH4="Selalu",4,IF(Responses!AH4="Sering",3,IF(Responses!AH4="Kadang - Kadang",2,IF(Responses!AH4="Jarang",1,0)))))</f>
        <v>3</v>
      </c>
      <c r="J4" s="8">
        <f>IF(Responses!AI4="","",IF(Responses!AI4="Selalu",4,IF(Responses!AI4="Sering",3,IF(Responses!AI4="Kadang - Kadang",2,IF(Responses!AI4="Jarang",1,0)))))</f>
        <v>0</v>
      </c>
      <c r="K4" s="8">
        <f>IF(Responses!AJ4="","",IF(Responses!AJ4="Selalu",4,IF(Responses!AJ4="Sering",3,IF(Responses!AJ4="Kadang - Kadang",2,IF(Responses!AJ4="Jarang",1,0)))))</f>
        <v>1</v>
      </c>
      <c r="L4" s="8">
        <f>IF(Responses!AK4="","",IF(Responses!AK4="Selalu",4,IF(Responses!AK4="Sering",3,IF(Responses!AK4="Kadang - Kadang",2,IF(Responses!AK4="Jarang",1,0)))))</f>
        <v>4</v>
      </c>
      <c r="M4" s="8">
        <f>IF(Responses!AL4="","",IF(Responses!AL4="Selalu",4,IF(Responses!AL4="Sering",3,IF(Responses!AL4="Kadang - Kadang",2,IF(Responses!AL4="Jarang",1,0)))))</f>
        <v>0</v>
      </c>
      <c r="N4" s="8">
        <f>IF(Responses!AM4="","",IF(Responses!AM4="Selalu",4,IF(Responses!AM4="Sering",3,IF(Responses!AM4="Kadang - Kadang",2,IF(Responses!AM4="Jarang",1,0)))))</f>
        <v>3</v>
      </c>
      <c r="O4" s="8">
        <f>IF(Responses!AN4="","",IF(Responses!AN4="Selalu",4,IF(Responses!AN4="Sering",3,IF(Responses!AN4="Kadang - Kadang",2,IF(Responses!AN4="Jarang",1,0)))))</f>
        <v>1</v>
      </c>
      <c r="P4" s="8">
        <f>IF(Responses!AO4="","",IF(Responses!AO4="Selalu",4,IF(Responses!AO4="Sering",3,IF(Responses!AO4="Kadang - Kadang",2,IF(Responses!AO4="Jarang",1,0)))))</f>
        <v>1</v>
      </c>
      <c r="Q4" s="8">
        <f>IF(Responses!AP4="","",IF(Responses!AP4="Selalu",4,IF(Responses!AP4="Sering",3,IF(Responses!AP4="Kadang - Kadang",2,IF(Responses!AP4="Jarang",1,0)))))</f>
        <v>0</v>
      </c>
      <c r="R4" s="8">
        <f>IF(Responses!AQ4="","",IF(Responses!AQ4="Selalu",4,IF(Responses!AQ4="Sering",3,IF(Responses!AQ4="Kadang - Kadang",2,IF(Responses!AQ4="Jarang",1,0)))))</f>
        <v>1</v>
      </c>
      <c r="S4" s="8">
        <f>IF(Responses!AR4="","",IF(Responses!AR4="Selalu",4,IF(Responses!AR4="Sering",3,IF(Responses!AR4="Kadang - Kadang",2,IF(Responses!AR4="Jarang",1,0)))))</f>
        <v>2</v>
      </c>
      <c r="T4" s="8">
        <f>IF(Responses!AS4="","",IF(Responses!AS4="Selalu",4,IF(Responses!AS4="Sering",3,IF(Responses!AS4="Kadang - Kadang",2,IF(Responses!AS4="Jarang",1,0)))))</f>
        <v>0</v>
      </c>
      <c r="U4" s="8">
        <f>IF(Responses!AT4="","",IF(Responses!AT4="Selalu",4,IF(Responses!AT4="Sering",3,IF(Responses!AT4="Kadang - Kadang",2,IF(Responses!AT4="Jarang",1,0)))))</f>
        <v>1</v>
      </c>
      <c r="V4" s="8">
        <f>IF(Responses!AU4="","",IF(Responses!AU4="Selalu",4,IF(Responses!AU4="Sering",3,IF(Responses!AU4="Kadang - Kadang",2,IF(Responses!AU4="Jarang",1,0)))))</f>
        <v>3</v>
      </c>
      <c r="W4" s="8">
        <f>IF(Responses!AV4="","",IF(Responses!AV4="Selalu",4,IF(Responses!AV4="Sering",3,IF(Responses!AV4="Kadang - Kadang",2,IF(Responses!AV4="Jarang",1,0)))))</f>
        <v>1</v>
      </c>
      <c r="X4" s="8">
        <f>IF(Responses!AW4="","",IF(Responses!AW4="Selalu",4,IF(Responses!AW4="Sering",3,IF(Responses!AW4="Kadang - Kadang",2,IF(Responses!AW4="Jarang",1,0)))))</f>
        <v>0</v>
      </c>
      <c r="Y4" s="20">
        <f t="shared" si="0"/>
        <v>26</v>
      </c>
      <c r="Z4" s="22" t="str">
        <f t="shared" si="1"/>
        <v>Tidak/Sedikit Kecanduan</v>
      </c>
    </row>
    <row r="5" spans="1:26" x14ac:dyDescent="0.3">
      <c r="A5" s="19" t="str">
        <f>Responses!A5</f>
        <v>9N98jAV</v>
      </c>
      <c r="B5" s="19" t="str">
        <f>Responses!B5</f>
        <v>RGZObRK</v>
      </c>
      <c r="C5" s="19">
        <f>Responses!C5</f>
        <v>46136.092372685183</v>
      </c>
      <c r="D5" s="19" t="str">
        <f>Responses!D5</f>
        <v>Qori Ilyasa Fariduddin Purwadi</v>
      </c>
      <c r="E5" s="19" t="str">
        <f>Responses!E5</f>
        <v>XI-1</v>
      </c>
      <c r="F5" s="19">
        <f>Responses!F5</f>
        <v>17</v>
      </c>
      <c r="G5" s="8">
        <f>IF(Responses!AF5="","",IF(Responses!AF5="Selalu",4,IF(Responses!AF5="Sering",3,IF(Responses!AF5="Kadang - Kadang",2,IF(Responses!AF5="Jarang",1,0)))))</f>
        <v>1</v>
      </c>
      <c r="H5" s="8">
        <f>IF(Responses!AG5="","",IF(Responses!AG5="Selalu",4,IF(Responses!AG5="Sering",3,IF(Responses!AG5="Kadang - Kadang",2,IF(Responses!AG5="Jarang",1,0)))))</f>
        <v>2</v>
      </c>
      <c r="I5" s="8">
        <f>IF(Responses!AH5="","",IF(Responses!AH5="Selalu",4,IF(Responses!AH5="Sering",3,IF(Responses!AH5="Kadang - Kadang",2,IF(Responses!AH5="Jarang",1,0)))))</f>
        <v>1</v>
      </c>
      <c r="J5" s="8">
        <f>IF(Responses!AI5="","",IF(Responses!AI5="Selalu",4,IF(Responses!AI5="Sering",3,IF(Responses!AI5="Kadang - Kadang",2,IF(Responses!AI5="Jarang",1,0)))))</f>
        <v>4</v>
      </c>
      <c r="K5" s="8">
        <f>IF(Responses!AJ5="","",IF(Responses!AJ5="Selalu",4,IF(Responses!AJ5="Sering",3,IF(Responses!AJ5="Kadang - Kadang",2,IF(Responses!AJ5="Jarang",1,0)))))</f>
        <v>0</v>
      </c>
      <c r="L5" s="8">
        <f>IF(Responses!AK5="","",IF(Responses!AK5="Selalu",4,IF(Responses!AK5="Sering",3,IF(Responses!AK5="Kadang - Kadang",2,IF(Responses!AK5="Jarang",1,0)))))</f>
        <v>4</v>
      </c>
      <c r="M5" s="8">
        <f>IF(Responses!AL5="","",IF(Responses!AL5="Selalu",4,IF(Responses!AL5="Sering",3,IF(Responses!AL5="Kadang - Kadang",2,IF(Responses!AL5="Jarang",1,0)))))</f>
        <v>2</v>
      </c>
      <c r="N5" s="8">
        <f>IF(Responses!AM5="","",IF(Responses!AM5="Selalu",4,IF(Responses!AM5="Sering",3,IF(Responses!AM5="Kadang - Kadang",2,IF(Responses!AM5="Jarang",1,0)))))</f>
        <v>0</v>
      </c>
      <c r="O5" s="8">
        <f>IF(Responses!AN5="","",IF(Responses!AN5="Selalu",4,IF(Responses!AN5="Sering",3,IF(Responses!AN5="Kadang - Kadang",2,IF(Responses!AN5="Jarang",1,0)))))</f>
        <v>0</v>
      </c>
      <c r="P5" s="8">
        <f>IF(Responses!AO5="","",IF(Responses!AO5="Selalu",4,IF(Responses!AO5="Sering",3,IF(Responses!AO5="Kadang - Kadang",2,IF(Responses!AO5="Jarang",1,0)))))</f>
        <v>1</v>
      </c>
      <c r="Q5" s="8">
        <f>IF(Responses!AP5="","",IF(Responses!AP5="Selalu",4,IF(Responses!AP5="Sering",3,IF(Responses!AP5="Kadang - Kadang",2,IF(Responses!AP5="Jarang",1,0)))))</f>
        <v>4</v>
      </c>
      <c r="R5" s="8">
        <f>IF(Responses!AQ5="","",IF(Responses!AQ5="Selalu",4,IF(Responses!AQ5="Sering",3,IF(Responses!AQ5="Kadang - Kadang",2,IF(Responses!AQ5="Jarang",1,0)))))</f>
        <v>1</v>
      </c>
      <c r="S5" s="8">
        <f>IF(Responses!AR5="","",IF(Responses!AR5="Selalu",4,IF(Responses!AR5="Sering",3,IF(Responses!AR5="Kadang - Kadang",2,IF(Responses!AR5="Jarang",1,0)))))</f>
        <v>1</v>
      </c>
      <c r="T5" s="8">
        <f>IF(Responses!AS5="","",IF(Responses!AS5="Selalu",4,IF(Responses!AS5="Sering",3,IF(Responses!AS5="Kadang - Kadang",2,IF(Responses!AS5="Jarang",1,0)))))</f>
        <v>2</v>
      </c>
      <c r="U5" s="8">
        <f>IF(Responses!AT5="","",IF(Responses!AT5="Selalu",4,IF(Responses!AT5="Sering",3,IF(Responses!AT5="Kadang - Kadang",2,IF(Responses!AT5="Jarang",1,0)))))</f>
        <v>1</v>
      </c>
      <c r="V5" s="8">
        <f>IF(Responses!AU5="","",IF(Responses!AU5="Selalu",4,IF(Responses!AU5="Sering",3,IF(Responses!AU5="Kadang - Kadang",2,IF(Responses!AU5="Jarang",1,0)))))</f>
        <v>0</v>
      </c>
      <c r="W5" s="8">
        <f>IF(Responses!AV5="","",IF(Responses!AV5="Selalu",4,IF(Responses!AV5="Sering",3,IF(Responses!AV5="Kadang - Kadang",2,IF(Responses!AV5="Jarang",1,0)))))</f>
        <v>2</v>
      </c>
      <c r="X5" s="8">
        <f>IF(Responses!AW5="","",IF(Responses!AW5="Selalu",4,IF(Responses!AW5="Sering",3,IF(Responses!AW5="Kadang - Kadang",2,IF(Responses!AW5="Jarang",1,0)))))</f>
        <v>0</v>
      </c>
      <c r="Y5" s="20">
        <f t="shared" si="0"/>
        <v>26</v>
      </c>
      <c r="Z5" s="22" t="str">
        <f t="shared" si="1"/>
        <v>Tidak/Sedikit Kecanduan</v>
      </c>
    </row>
    <row r="6" spans="1:26" x14ac:dyDescent="0.3">
      <c r="A6" s="19" t="str">
        <f>Responses!A6</f>
        <v>Eqd2RJ2</v>
      </c>
      <c r="B6" s="19" t="str">
        <f>Responses!B6</f>
        <v>EkBpN2L</v>
      </c>
      <c r="C6" s="19">
        <f>Responses!C6</f>
        <v>46136.09270833333</v>
      </c>
      <c r="D6" s="19" t="str">
        <f>Responses!D6</f>
        <v xml:space="preserve">Kirana Annisa Noegroho </v>
      </c>
      <c r="E6" s="19" t="str">
        <f>Responses!E6</f>
        <v>XI-1</v>
      </c>
      <c r="F6" s="19">
        <f>Responses!F6</f>
        <v>16</v>
      </c>
      <c r="G6" s="8">
        <f>IF(Responses!AF6="","",IF(Responses!AF6="Selalu",4,IF(Responses!AF6="Sering",3,IF(Responses!AF6="Kadang - Kadang",2,IF(Responses!AF6="Jarang",1,0)))))</f>
        <v>3</v>
      </c>
      <c r="H6" s="8">
        <f>IF(Responses!AG6="","",IF(Responses!AG6="Selalu",4,IF(Responses!AG6="Sering",3,IF(Responses!AG6="Kadang - Kadang",2,IF(Responses!AG6="Jarang",1,0)))))</f>
        <v>1</v>
      </c>
      <c r="I6" s="8">
        <f>IF(Responses!AH6="","",IF(Responses!AH6="Selalu",4,IF(Responses!AH6="Sering",3,IF(Responses!AH6="Kadang - Kadang",2,IF(Responses!AH6="Jarang",1,0)))))</f>
        <v>2</v>
      </c>
      <c r="J6" s="8">
        <f>IF(Responses!AI6="","",IF(Responses!AI6="Selalu",4,IF(Responses!AI6="Sering",3,IF(Responses!AI6="Kadang - Kadang",2,IF(Responses!AI6="Jarang",1,0)))))</f>
        <v>0</v>
      </c>
      <c r="K6" s="8">
        <f>IF(Responses!AJ6="","",IF(Responses!AJ6="Selalu",4,IF(Responses!AJ6="Sering",3,IF(Responses!AJ6="Kadang - Kadang",2,IF(Responses!AJ6="Jarang",1,0)))))</f>
        <v>0</v>
      </c>
      <c r="L6" s="8">
        <f>IF(Responses!AK6="","",IF(Responses!AK6="Selalu",4,IF(Responses!AK6="Sering",3,IF(Responses!AK6="Kadang - Kadang",2,IF(Responses!AK6="Jarang",1,0)))))</f>
        <v>1</v>
      </c>
      <c r="M6" s="8">
        <f>IF(Responses!AL6="","",IF(Responses!AL6="Selalu",4,IF(Responses!AL6="Sering",3,IF(Responses!AL6="Kadang - Kadang",2,IF(Responses!AL6="Jarang",1,0)))))</f>
        <v>0</v>
      </c>
      <c r="N6" s="8">
        <f>IF(Responses!AM6="","",IF(Responses!AM6="Selalu",4,IF(Responses!AM6="Sering",3,IF(Responses!AM6="Kadang - Kadang",2,IF(Responses!AM6="Jarang",1,0)))))</f>
        <v>4</v>
      </c>
      <c r="O6" s="8">
        <f>IF(Responses!AN6="","",IF(Responses!AN6="Selalu",4,IF(Responses!AN6="Sering",3,IF(Responses!AN6="Kadang - Kadang",2,IF(Responses!AN6="Jarang",1,0)))))</f>
        <v>1</v>
      </c>
      <c r="P6" s="8">
        <f>IF(Responses!AO6="","",IF(Responses!AO6="Selalu",4,IF(Responses!AO6="Sering",3,IF(Responses!AO6="Kadang - Kadang",2,IF(Responses!AO6="Jarang",1,0)))))</f>
        <v>2</v>
      </c>
      <c r="Q6" s="8">
        <f>IF(Responses!AP6="","",IF(Responses!AP6="Selalu",4,IF(Responses!AP6="Sering",3,IF(Responses!AP6="Kadang - Kadang",2,IF(Responses!AP6="Jarang",1,0)))))</f>
        <v>2</v>
      </c>
      <c r="R6" s="8">
        <f>IF(Responses!AQ6="","",IF(Responses!AQ6="Selalu",4,IF(Responses!AQ6="Sering",3,IF(Responses!AQ6="Kadang - Kadang",2,IF(Responses!AQ6="Jarang",1,0)))))</f>
        <v>3</v>
      </c>
      <c r="S6" s="8">
        <f>IF(Responses!AR6="","",IF(Responses!AR6="Selalu",4,IF(Responses!AR6="Sering",3,IF(Responses!AR6="Kadang - Kadang",2,IF(Responses!AR6="Jarang",1,0)))))</f>
        <v>1</v>
      </c>
      <c r="T6" s="8">
        <f>IF(Responses!AS6="","",IF(Responses!AS6="Selalu",4,IF(Responses!AS6="Sering",3,IF(Responses!AS6="Kadang - Kadang",2,IF(Responses!AS6="Jarang",1,0)))))</f>
        <v>3</v>
      </c>
      <c r="U6" s="8">
        <f>IF(Responses!AT6="","",IF(Responses!AT6="Selalu",4,IF(Responses!AT6="Sering",3,IF(Responses!AT6="Kadang - Kadang",2,IF(Responses!AT6="Jarang",1,0)))))</f>
        <v>2</v>
      </c>
      <c r="V6" s="8">
        <f>IF(Responses!AU6="","",IF(Responses!AU6="Selalu",4,IF(Responses!AU6="Sering",3,IF(Responses!AU6="Kadang - Kadang",2,IF(Responses!AU6="Jarang",1,0)))))</f>
        <v>2</v>
      </c>
      <c r="W6" s="8">
        <f>IF(Responses!AV6="","",IF(Responses!AV6="Selalu",4,IF(Responses!AV6="Sering",3,IF(Responses!AV6="Kadang - Kadang",2,IF(Responses!AV6="Jarang",1,0)))))</f>
        <v>1</v>
      </c>
      <c r="X6" s="8">
        <f>IF(Responses!AW6="","",IF(Responses!AW6="Selalu",4,IF(Responses!AW6="Sering",3,IF(Responses!AW6="Kadang - Kadang",2,IF(Responses!AW6="Jarang",1,0)))))</f>
        <v>2</v>
      </c>
      <c r="Y6" s="20">
        <f t="shared" si="0"/>
        <v>30</v>
      </c>
      <c r="Z6" s="22" t="str">
        <f t="shared" si="1"/>
        <v>Kecanduan Borderline</v>
      </c>
    </row>
    <row r="7" spans="1:26" x14ac:dyDescent="0.3">
      <c r="A7" s="19" t="str">
        <f>Responses!A7</f>
        <v>BEdrr21</v>
      </c>
      <c r="B7" s="19" t="str">
        <f>Responses!B7</f>
        <v>Np4zdeW</v>
      </c>
      <c r="C7" s="19">
        <f>Responses!C7</f>
        <v>46136.092951388891</v>
      </c>
      <c r="D7" s="19" t="str">
        <f>Responses!D7</f>
        <v>Raffarel Jozka Dafiq Prihantara</v>
      </c>
      <c r="E7" s="19" t="str">
        <f>Responses!E7</f>
        <v>XI-1</v>
      </c>
      <c r="F7" s="19">
        <f>Responses!F7</f>
        <v>16</v>
      </c>
      <c r="G7" s="8">
        <f>IF(Responses!AF7="","",IF(Responses!AF7="Selalu",4,IF(Responses!AF7="Sering",3,IF(Responses!AF7="Kadang - Kadang",2,IF(Responses!AF7="Jarang",1,0)))))</f>
        <v>2</v>
      </c>
      <c r="H7" s="8">
        <f>IF(Responses!AG7="","",IF(Responses!AG7="Selalu",4,IF(Responses!AG7="Sering",3,IF(Responses!AG7="Kadang - Kadang",2,IF(Responses!AG7="Jarang",1,0)))))</f>
        <v>1</v>
      </c>
      <c r="I7" s="8">
        <f>IF(Responses!AH7="","",IF(Responses!AH7="Selalu",4,IF(Responses!AH7="Sering",3,IF(Responses!AH7="Kadang - Kadang",2,IF(Responses!AH7="Jarang",1,0)))))</f>
        <v>1</v>
      </c>
      <c r="J7" s="8">
        <f>IF(Responses!AI7="","",IF(Responses!AI7="Selalu",4,IF(Responses!AI7="Sering",3,IF(Responses!AI7="Kadang - Kadang",2,IF(Responses!AI7="Jarang",1,0)))))</f>
        <v>0</v>
      </c>
      <c r="K7" s="8">
        <f>IF(Responses!AJ7="","",IF(Responses!AJ7="Selalu",4,IF(Responses!AJ7="Sering",3,IF(Responses!AJ7="Kadang - Kadang",2,IF(Responses!AJ7="Jarang",1,0)))))</f>
        <v>0</v>
      </c>
      <c r="L7" s="8">
        <f>IF(Responses!AK7="","",IF(Responses!AK7="Selalu",4,IF(Responses!AK7="Sering",3,IF(Responses!AK7="Kadang - Kadang",2,IF(Responses!AK7="Jarang",1,0)))))</f>
        <v>0</v>
      </c>
      <c r="M7" s="8">
        <f>IF(Responses!AL7="","",IF(Responses!AL7="Selalu",4,IF(Responses!AL7="Sering",3,IF(Responses!AL7="Kadang - Kadang",2,IF(Responses!AL7="Jarang",1,0)))))</f>
        <v>0</v>
      </c>
      <c r="N7" s="8">
        <f>IF(Responses!AM7="","",IF(Responses!AM7="Selalu",4,IF(Responses!AM7="Sering",3,IF(Responses!AM7="Kadang - Kadang",2,IF(Responses!AM7="Jarang",1,0)))))</f>
        <v>1</v>
      </c>
      <c r="O7" s="8">
        <f>IF(Responses!AN7="","",IF(Responses!AN7="Selalu",4,IF(Responses!AN7="Sering",3,IF(Responses!AN7="Kadang - Kadang",2,IF(Responses!AN7="Jarang",1,0)))))</f>
        <v>1</v>
      </c>
      <c r="P7" s="8">
        <f>IF(Responses!AO7="","",IF(Responses!AO7="Selalu",4,IF(Responses!AO7="Sering",3,IF(Responses!AO7="Kadang - Kadang",2,IF(Responses!AO7="Jarang",1,0)))))</f>
        <v>4</v>
      </c>
      <c r="Q7" s="8">
        <f>IF(Responses!AP7="","",IF(Responses!AP7="Selalu",4,IF(Responses!AP7="Sering",3,IF(Responses!AP7="Kadang - Kadang",2,IF(Responses!AP7="Jarang",1,0)))))</f>
        <v>2</v>
      </c>
      <c r="R7" s="8">
        <f>IF(Responses!AQ7="","",IF(Responses!AQ7="Selalu",4,IF(Responses!AQ7="Sering",3,IF(Responses!AQ7="Kadang - Kadang",2,IF(Responses!AQ7="Jarang",1,0)))))</f>
        <v>3</v>
      </c>
      <c r="S7" s="8">
        <f>IF(Responses!AR7="","",IF(Responses!AR7="Selalu",4,IF(Responses!AR7="Sering",3,IF(Responses!AR7="Kadang - Kadang",2,IF(Responses!AR7="Jarang",1,0)))))</f>
        <v>1</v>
      </c>
      <c r="T7" s="8">
        <f>IF(Responses!AS7="","",IF(Responses!AS7="Selalu",4,IF(Responses!AS7="Sering",3,IF(Responses!AS7="Kadang - Kadang",2,IF(Responses!AS7="Jarang",1,0)))))</f>
        <v>2</v>
      </c>
      <c r="U7" s="8">
        <f>IF(Responses!AT7="","",IF(Responses!AT7="Selalu",4,IF(Responses!AT7="Sering",3,IF(Responses!AT7="Kadang - Kadang",2,IF(Responses!AT7="Jarang",1,0)))))</f>
        <v>3</v>
      </c>
      <c r="V7" s="8">
        <f>IF(Responses!AU7="","",IF(Responses!AU7="Selalu",4,IF(Responses!AU7="Sering",3,IF(Responses!AU7="Kadang - Kadang",2,IF(Responses!AU7="Jarang",1,0)))))</f>
        <v>0</v>
      </c>
      <c r="W7" s="8">
        <f>IF(Responses!AV7="","",IF(Responses!AV7="Selalu",4,IF(Responses!AV7="Sering",3,IF(Responses!AV7="Kadang - Kadang",2,IF(Responses!AV7="Jarang",1,0)))))</f>
        <v>0</v>
      </c>
      <c r="X7" s="8">
        <f>IF(Responses!AW7="","",IF(Responses!AW7="Selalu",4,IF(Responses!AW7="Sering",3,IF(Responses!AW7="Kadang - Kadang",2,IF(Responses!AW7="Jarang",1,0)))))</f>
        <v>1</v>
      </c>
      <c r="Y7" s="20">
        <f t="shared" si="0"/>
        <v>22</v>
      </c>
      <c r="Z7" s="22" t="str">
        <f t="shared" si="1"/>
        <v>Tidak/Sedikit Kecanduan</v>
      </c>
    </row>
    <row r="8" spans="1:26" x14ac:dyDescent="0.3">
      <c r="A8" s="19" t="str">
        <f>Responses!A8</f>
        <v>M1NW06g</v>
      </c>
      <c r="B8" s="19" t="str">
        <f>Responses!B8</f>
        <v>vG0Rzk0</v>
      </c>
      <c r="C8" s="19">
        <f>Responses!C8</f>
        <v>46136.093148148153</v>
      </c>
      <c r="D8" s="19" t="str">
        <f>Responses!D8</f>
        <v xml:space="preserve">Salwa Nafisatul Khoerun Nisa </v>
      </c>
      <c r="E8" s="19" t="str">
        <f>Responses!E8</f>
        <v>XI-1</v>
      </c>
      <c r="F8" s="19">
        <f>Responses!F8</f>
        <v>17</v>
      </c>
      <c r="G8" s="8">
        <f>IF(Responses!AF8="","",IF(Responses!AF8="Selalu",4,IF(Responses!AF8="Sering",3,IF(Responses!AF8="Kadang - Kadang",2,IF(Responses!AF8="Jarang",1,0)))))</f>
        <v>3</v>
      </c>
      <c r="H8" s="8">
        <f>IF(Responses!AG8="","",IF(Responses!AG8="Selalu",4,IF(Responses!AG8="Sering",3,IF(Responses!AG8="Kadang - Kadang",2,IF(Responses!AG8="Jarang",1,0)))))</f>
        <v>2</v>
      </c>
      <c r="I8" s="8">
        <f>IF(Responses!AH8="","",IF(Responses!AH8="Selalu",4,IF(Responses!AH8="Sering",3,IF(Responses!AH8="Kadang - Kadang",2,IF(Responses!AH8="Jarang",1,0)))))</f>
        <v>1</v>
      </c>
      <c r="J8" s="8">
        <f>IF(Responses!AI8="","",IF(Responses!AI8="Selalu",4,IF(Responses!AI8="Sering",3,IF(Responses!AI8="Kadang - Kadang",2,IF(Responses!AI8="Jarang",1,0)))))</f>
        <v>1</v>
      </c>
      <c r="K8" s="8">
        <f>IF(Responses!AJ8="","",IF(Responses!AJ8="Selalu",4,IF(Responses!AJ8="Sering",3,IF(Responses!AJ8="Kadang - Kadang",2,IF(Responses!AJ8="Jarang",1,0)))))</f>
        <v>0</v>
      </c>
      <c r="L8" s="8">
        <f>IF(Responses!AK8="","",IF(Responses!AK8="Selalu",4,IF(Responses!AK8="Sering",3,IF(Responses!AK8="Kadang - Kadang",2,IF(Responses!AK8="Jarang",1,0)))))</f>
        <v>0</v>
      </c>
      <c r="M8" s="8">
        <f>IF(Responses!AL8="","",IF(Responses!AL8="Selalu",4,IF(Responses!AL8="Sering",3,IF(Responses!AL8="Kadang - Kadang",2,IF(Responses!AL8="Jarang",1,0)))))</f>
        <v>2</v>
      </c>
      <c r="N8" s="8">
        <f>IF(Responses!AM8="","",IF(Responses!AM8="Selalu",4,IF(Responses!AM8="Sering",3,IF(Responses!AM8="Kadang - Kadang",2,IF(Responses!AM8="Jarang",1,0)))))</f>
        <v>2</v>
      </c>
      <c r="O8" s="8">
        <f>IF(Responses!AN8="","",IF(Responses!AN8="Selalu",4,IF(Responses!AN8="Sering",3,IF(Responses!AN8="Kadang - Kadang",2,IF(Responses!AN8="Jarang",1,0)))))</f>
        <v>0</v>
      </c>
      <c r="P8" s="8">
        <f>IF(Responses!AO8="","",IF(Responses!AO8="Selalu",4,IF(Responses!AO8="Sering",3,IF(Responses!AO8="Kadang - Kadang",2,IF(Responses!AO8="Jarang",1,0)))))</f>
        <v>2</v>
      </c>
      <c r="Q8" s="8">
        <f>IF(Responses!AP8="","",IF(Responses!AP8="Selalu",4,IF(Responses!AP8="Sering",3,IF(Responses!AP8="Kadang - Kadang",2,IF(Responses!AP8="Jarang",1,0)))))</f>
        <v>0</v>
      </c>
      <c r="R8" s="8">
        <f>IF(Responses!AQ8="","",IF(Responses!AQ8="Selalu",4,IF(Responses!AQ8="Sering",3,IF(Responses!AQ8="Kadang - Kadang",2,IF(Responses!AQ8="Jarang",1,0)))))</f>
        <v>3</v>
      </c>
      <c r="S8" s="8">
        <f>IF(Responses!AR8="","",IF(Responses!AR8="Selalu",4,IF(Responses!AR8="Sering",3,IF(Responses!AR8="Kadang - Kadang",2,IF(Responses!AR8="Jarang",1,0)))))</f>
        <v>3</v>
      </c>
      <c r="T8" s="8">
        <f>IF(Responses!AS8="","",IF(Responses!AS8="Selalu",4,IF(Responses!AS8="Sering",3,IF(Responses!AS8="Kadang - Kadang",2,IF(Responses!AS8="Jarang",1,0)))))</f>
        <v>2</v>
      </c>
      <c r="U8" s="8">
        <f>IF(Responses!AT8="","",IF(Responses!AT8="Selalu",4,IF(Responses!AT8="Sering",3,IF(Responses!AT8="Kadang - Kadang",2,IF(Responses!AT8="Jarang",1,0)))))</f>
        <v>0</v>
      </c>
      <c r="V8" s="8">
        <f>IF(Responses!AU8="","",IF(Responses!AU8="Selalu",4,IF(Responses!AU8="Sering",3,IF(Responses!AU8="Kadang - Kadang",2,IF(Responses!AU8="Jarang",1,0)))))</f>
        <v>1</v>
      </c>
      <c r="W8" s="8">
        <f>IF(Responses!AV8="","",IF(Responses!AV8="Selalu",4,IF(Responses!AV8="Sering",3,IF(Responses!AV8="Kadang - Kadang",2,IF(Responses!AV8="Jarang",1,0)))))</f>
        <v>2</v>
      </c>
      <c r="X8" s="8">
        <f>IF(Responses!AW8="","",IF(Responses!AW8="Selalu",4,IF(Responses!AW8="Sering",3,IF(Responses!AW8="Kadang - Kadang",2,IF(Responses!AW8="Jarang",1,0)))))</f>
        <v>1</v>
      </c>
      <c r="Y8" s="20">
        <f t="shared" si="0"/>
        <v>25</v>
      </c>
      <c r="Z8" s="22" t="str">
        <f t="shared" si="1"/>
        <v>Tidak/Sedikit Kecanduan</v>
      </c>
    </row>
    <row r="9" spans="1:26" x14ac:dyDescent="0.3">
      <c r="A9" s="19" t="str">
        <f>Responses!A9</f>
        <v>zEykPxa</v>
      </c>
      <c r="B9" s="19" t="str">
        <f>Responses!B9</f>
        <v>VL9rq96</v>
      </c>
      <c r="C9" s="19">
        <f>Responses!C9</f>
        <v>46136.0934837963</v>
      </c>
      <c r="D9" s="19" t="str">
        <f>Responses!D9</f>
        <v xml:space="preserve">Najwa Alya Puteri </v>
      </c>
      <c r="E9" s="19" t="str">
        <f>Responses!E9</f>
        <v>XI-1</v>
      </c>
      <c r="F9" s="19">
        <f>Responses!F9</f>
        <v>17</v>
      </c>
      <c r="G9" s="8">
        <f>IF(Responses!AF9="","",IF(Responses!AF9="Selalu",4,IF(Responses!AF9="Sering",3,IF(Responses!AF9="Kadang - Kadang",2,IF(Responses!AF9="Jarang",1,0)))))</f>
        <v>3</v>
      </c>
      <c r="H9" s="8">
        <f>IF(Responses!AG9="","",IF(Responses!AG9="Selalu",4,IF(Responses!AG9="Sering",3,IF(Responses!AG9="Kadang - Kadang",2,IF(Responses!AG9="Jarang",1,0)))))</f>
        <v>1</v>
      </c>
      <c r="I9" s="8">
        <f>IF(Responses!AH9="","",IF(Responses!AH9="Selalu",4,IF(Responses!AH9="Sering",3,IF(Responses!AH9="Kadang - Kadang",2,IF(Responses!AH9="Jarang",1,0)))))</f>
        <v>2</v>
      </c>
      <c r="J9" s="8">
        <f>IF(Responses!AI9="","",IF(Responses!AI9="Selalu",4,IF(Responses!AI9="Sering",3,IF(Responses!AI9="Kadang - Kadang",2,IF(Responses!AI9="Jarang",1,0)))))</f>
        <v>3</v>
      </c>
      <c r="K9" s="8">
        <f>IF(Responses!AJ9="","",IF(Responses!AJ9="Selalu",4,IF(Responses!AJ9="Sering",3,IF(Responses!AJ9="Kadang - Kadang",2,IF(Responses!AJ9="Jarang",1,0)))))</f>
        <v>4</v>
      </c>
      <c r="L9" s="8">
        <f>IF(Responses!AK9="","",IF(Responses!AK9="Selalu",4,IF(Responses!AK9="Sering",3,IF(Responses!AK9="Kadang - Kadang",2,IF(Responses!AK9="Jarang",1,0)))))</f>
        <v>1</v>
      </c>
      <c r="M9" s="8">
        <f>IF(Responses!AL9="","",IF(Responses!AL9="Selalu",4,IF(Responses!AL9="Sering",3,IF(Responses!AL9="Kadang - Kadang",2,IF(Responses!AL9="Jarang",1,0)))))</f>
        <v>1</v>
      </c>
      <c r="N9" s="8">
        <f>IF(Responses!AM9="","",IF(Responses!AM9="Selalu",4,IF(Responses!AM9="Sering",3,IF(Responses!AM9="Kadang - Kadang",2,IF(Responses!AM9="Jarang",1,0)))))</f>
        <v>2</v>
      </c>
      <c r="O9" s="8">
        <f>IF(Responses!AN9="","",IF(Responses!AN9="Selalu",4,IF(Responses!AN9="Sering",3,IF(Responses!AN9="Kadang - Kadang",2,IF(Responses!AN9="Jarang",1,0)))))</f>
        <v>2</v>
      </c>
      <c r="P9" s="8">
        <f>IF(Responses!AO9="","",IF(Responses!AO9="Selalu",4,IF(Responses!AO9="Sering",3,IF(Responses!AO9="Kadang - Kadang",2,IF(Responses!AO9="Jarang",1,0)))))</f>
        <v>1</v>
      </c>
      <c r="Q9" s="8">
        <f>IF(Responses!AP9="","",IF(Responses!AP9="Selalu",4,IF(Responses!AP9="Sering",3,IF(Responses!AP9="Kadang - Kadang",2,IF(Responses!AP9="Jarang",1,0)))))</f>
        <v>3</v>
      </c>
      <c r="R9" s="8">
        <f>IF(Responses!AQ9="","",IF(Responses!AQ9="Selalu",4,IF(Responses!AQ9="Sering",3,IF(Responses!AQ9="Kadang - Kadang",2,IF(Responses!AQ9="Jarang",1,0)))))</f>
        <v>2</v>
      </c>
      <c r="S9" s="8">
        <f>IF(Responses!AR9="","",IF(Responses!AR9="Selalu",4,IF(Responses!AR9="Sering",3,IF(Responses!AR9="Kadang - Kadang",2,IF(Responses!AR9="Jarang",1,0)))))</f>
        <v>2</v>
      </c>
      <c r="T9" s="8">
        <f>IF(Responses!AS9="","",IF(Responses!AS9="Selalu",4,IF(Responses!AS9="Sering",3,IF(Responses!AS9="Kadang - Kadang",2,IF(Responses!AS9="Jarang",1,0)))))</f>
        <v>2</v>
      </c>
      <c r="U9" s="8">
        <f>IF(Responses!AT9="","",IF(Responses!AT9="Selalu",4,IF(Responses!AT9="Sering",3,IF(Responses!AT9="Kadang - Kadang",2,IF(Responses!AT9="Jarang",1,0)))))</f>
        <v>2</v>
      </c>
      <c r="V9" s="8">
        <f>IF(Responses!AU9="","",IF(Responses!AU9="Selalu",4,IF(Responses!AU9="Sering",3,IF(Responses!AU9="Kadang - Kadang",2,IF(Responses!AU9="Jarang",1,0)))))</f>
        <v>2</v>
      </c>
      <c r="W9" s="8">
        <f>IF(Responses!AV9="","",IF(Responses!AV9="Selalu",4,IF(Responses!AV9="Sering",3,IF(Responses!AV9="Kadang - Kadang",2,IF(Responses!AV9="Jarang",1,0)))))</f>
        <v>2</v>
      </c>
      <c r="X9" s="8">
        <f>IF(Responses!AW9="","",IF(Responses!AW9="Selalu",4,IF(Responses!AW9="Sering",3,IF(Responses!AW9="Kadang - Kadang",2,IF(Responses!AW9="Jarang",1,0)))))</f>
        <v>2</v>
      </c>
      <c r="Y9" s="20">
        <f t="shared" si="0"/>
        <v>37</v>
      </c>
      <c r="Z9" s="22" t="str">
        <f t="shared" si="1"/>
        <v>Kecanduan Borderline</v>
      </c>
    </row>
    <row r="10" spans="1:26" x14ac:dyDescent="0.3">
      <c r="A10" s="19" t="str">
        <f>Responses!A10</f>
        <v>BEdrMd7</v>
      </c>
      <c r="B10" s="19" t="str">
        <f>Responses!B10</f>
        <v>Mer0P6k</v>
      </c>
      <c r="C10" s="19">
        <f>Responses!C10</f>
        <v>46136.093495370369</v>
      </c>
      <c r="D10" s="19" t="str">
        <f>Responses!D10</f>
        <v xml:space="preserve">Syarifah Lutfia Varisha </v>
      </c>
      <c r="E10" s="19" t="str">
        <f>Responses!E10</f>
        <v>XI-1</v>
      </c>
      <c r="F10" s="19">
        <f>Responses!F10</f>
        <v>17</v>
      </c>
      <c r="G10" s="8">
        <f>IF(Responses!AF10="","",IF(Responses!AF10="Selalu",4,IF(Responses!AF10="Sering",3,IF(Responses!AF10="Kadang - Kadang",2,IF(Responses!AF10="Jarang",1,0)))))</f>
        <v>3</v>
      </c>
      <c r="H10" s="8">
        <f>IF(Responses!AG10="","",IF(Responses!AG10="Selalu",4,IF(Responses!AG10="Sering",3,IF(Responses!AG10="Kadang - Kadang",2,IF(Responses!AG10="Jarang",1,0)))))</f>
        <v>2</v>
      </c>
      <c r="I10" s="8">
        <f>IF(Responses!AH10="","",IF(Responses!AH10="Selalu",4,IF(Responses!AH10="Sering",3,IF(Responses!AH10="Kadang - Kadang",2,IF(Responses!AH10="Jarang",1,0)))))</f>
        <v>2</v>
      </c>
      <c r="J10" s="8">
        <f>IF(Responses!AI10="","",IF(Responses!AI10="Selalu",4,IF(Responses!AI10="Sering",3,IF(Responses!AI10="Kadang - Kadang",2,IF(Responses!AI10="Jarang",1,0)))))</f>
        <v>1</v>
      </c>
      <c r="K10" s="8">
        <f>IF(Responses!AJ10="","",IF(Responses!AJ10="Selalu",4,IF(Responses!AJ10="Sering",3,IF(Responses!AJ10="Kadang - Kadang",2,IF(Responses!AJ10="Jarang",1,0)))))</f>
        <v>3</v>
      </c>
      <c r="L10" s="8">
        <f>IF(Responses!AK10="","",IF(Responses!AK10="Selalu",4,IF(Responses!AK10="Sering",3,IF(Responses!AK10="Kadang - Kadang",2,IF(Responses!AK10="Jarang",1,0)))))</f>
        <v>2</v>
      </c>
      <c r="M10" s="8">
        <f>IF(Responses!AL10="","",IF(Responses!AL10="Selalu",4,IF(Responses!AL10="Sering",3,IF(Responses!AL10="Kadang - Kadang",2,IF(Responses!AL10="Jarang",1,0)))))</f>
        <v>2</v>
      </c>
      <c r="N10" s="8">
        <f>IF(Responses!AM10="","",IF(Responses!AM10="Selalu",4,IF(Responses!AM10="Sering",3,IF(Responses!AM10="Kadang - Kadang",2,IF(Responses!AM10="Jarang",1,0)))))</f>
        <v>2</v>
      </c>
      <c r="O10" s="8">
        <f>IF(Responses!AN10="","",IF(Responses!AN10="Selalu",4,IF(Responses!AN10="Sering",3,IF(Responses!AN10="Kadang - Kadang",2,IF(Responses!AN10="Jarang",1,0)))))</f>
        <v>1</v>
      </c>
      <c r="P10" s="8">
        <f>IF(Responses!AO10="","",IF(Responses!AO10="Selalu",4,IF(Responses!AO10="Sering",3,IF(Responses!AO10="Kadang - Kadang",2,IF(Responses!AO10="Jarang",1,0)))))</f>
        <v>3</v>
      </c>
      <c r="Q10" s="8">
        <f>IF(Responses!AP10="","",IF(Responses!AP10="Selalu",4,IF(Responses!AP10="Sering",3,IF(Responses!AP10="Kadang - Kadang",2,IF(Responses!AP10="Jarang",1,0)))))</f>
        <v>4</v>
      </c>
      <c r="R10" s="8">
        <f>IF(Responses!AQ10="","",IF(Responses!AQ10="Selalu",4,IF(Responses!AQ10="Sering",3,IF(Responses!AQ10="Kadang - Kadang",2,IF(Responses!AQ10="Jarang",1,0)))))</f>
        <v>3</v>
      </c>
      <c r="S10" s="8">
        <f>IF(Responses!AR10="","",IF(Responses!AR10="Selalu",4,IF(Responses!AR10="Sering",3,IF(Responses!AR10="Kadang - Kadang",2,IF(Responses!AR10="Jarang",1,0)))))</f>
        <v>2</v>
      </c>
      <c r="T10" s="8">
        <f>IF(Responses!AS10="","",IF(Responses!AS10="Selalu",4,IF(Responses!AS10="Sering",3,IF(Responses!AS10="Kadang - Kadang",2,IF(Responses!AS10="Jarang",1,0)))))</f>
        <v>2</v>
      </c>
      <c r="U10" s="8">
        <f>IF(Responses!AT10="","",IF(Responses!AT10="Selalu",4,IF(Responses!AT10="Sering",3,IF(Responses!AT10="Kadang - Kadang",2,IF(Responses!AT10="Jarang",1,0)))))</f>
        <v>2</v>
      </c>
      <c r="V10" s="8">
        <f>IF(Responses!AU10="","",IF(Responses!AU10="Selalu",4,IF(Responses!AU10="Sering",3,IF(Responses!AU10="Kadang - Kadang",2,IF(Responses!AU10="Jarang",1,0)))))</f>
        <v>2</v>
      </c>
      <c r="W10" s="8">
        <f>IF(Responses!AV10="","",IF(Responses!AV10="Selalu",4,IF(Responses!AV10="Sering",3,IF(Responses!AV10="Kadang - Kadang",2,IF(Responses!AV10="Jarang",1,0)))))</f>
        <v>1</v>
      </c>
      <c r="X10" s="8">
        <f>IF(Responses!AW10="","",IF(Responses!AW10="Selalu",4,IF(Responses!AW10="Sering",3,IF(Responses!AW10="Kadang - Kadang",2,IF(Responses!AW10="Jarang",1,0)))))</f>
        <v>3</v>
      </c>
      <c r="Y10" s="20">
        <f t="shared" si="0"/>
        <v>40</v>
      </c>
      <c r="Z10" s="22" t="str">
        <f t="shared" si="1"/>
        <v>Kemungkinan Kecanduan</v>
      </c>
    </row>
    <row r="11" spans="1:26" x14ac:dyDescent="0.3">
      <c r="A11" s="19" t="str">
        <f>Responses!A11</f>
        <v>NqlaGMj</v>
      </c>
      <c r="B11" s="19" t="str">
        <f>Responses!B11</f>
        <v>ob0JgPM</v>
      </c>
      <c r="C11" s="19">
        <f>Responses!C11</f>
        <v>46136.093564814822</v>
      </c>
      <c r="D11" s="19" t="str">
        <f>Responses!D11</f>
        <v xml:space="preserve">Bella Khalwanina Arastya </v>
      </c>
      <c r="E11" s="19" t="str">
        <f>Responses!E11</f>
        <v>XI-1</v>
      </c>
      <c r="F11" s="19">
        <f>Responses!F11</f>
        <v>18</v>
      </c>
      <c r="G11" s="8">
        <f>IF(Responses!AF11="","",IF(Responses!AF11="Selalu",4,IF(Responses!AF11="Sering",3,IF(Responses!AF11="Kadang - Kadang",2,IF(Responses!AF11="Jarang",1,0)))))</f>
        <v>3</v>
      </c>
      <c r="H11" s="8">
        <f>IF(Responses!AG11="","",IF(Responses!AG11="Selalu",4,IF(Responses!AG11="Sering",3,IF(Responses!AG11="Kadang - Kadang",2,IF(Responses!AG11="Jarang",1,0)))))</f>
        <v>2</v>
      </c>
      <c r="I11" s="8">
        <f>IF(Responses!AH11="","",IF(Responses!AH11="Selalu",4,IF(Responses!AH11="Sering",3,IF(Responses!AH11="Kadang - Kadang",2,IF(Responses!AH11="Jarang",1,0)))))</f>
        <v>3</v>
      </c>
      <c r="J11" s="8">
        <f>IF(Responses!AI11="","",IF(Responses!AI11="Selalu",4,IF(Responses!AI11="Sering",3,IF(Responses!AI11="Kadang - Kadang",2,IF(Responses!AI11="Jarang",1,0)))))</f>
        <v>1</v>
      </c>
      <c r="K11" s="8">
        <f>IF(Responses!AJ11="","",IF(Responses!AJ11="Selalu",4,IF(Responses!AJ11="Sering",3,IF(Responses!AJ11="Kadang - Kadang",2,IF(Responses!AJ11="Jarang",1,0)))))</f>
        <v>3</v>
      </c>
      <c r="L11" s="8">
        <f>IF(Responses!AK11="","",IF(Responses!AK11="Selalu",4,IF(Responses!AK11="Sering",3,IF(Responses!AK11="Kadang - Kadang",2,IF(Responses!AK11="Jarang",1,0)))))</f>
        <v>1</v>
      </c>
      <c r="M11" s="8">
        <f>IF(Responses!AL11="","",IF(Responses!AL11="Selalu",4,IF(Responses!AL11="Sering",3,IF(Responses!AL11="Kadang - Kadang",2,IF(Responses!AL11="Jarang",1,0)))))</f>
        <v>1</v>
      </c>
      <c r="N11" s="8">
        <f>IF(Responses!AM11="","",IF(Responses!AM11="Selalu",4,IF(Responses!AM11="Sering",3,IF(Responses!AM11="Kadang - Kadang",2,IF(Responses!AM11="Jarang",1,0)))))</f>
        <v>0</v>
      </c>
      <c r="O11" s="8">
        <f>IF(Responses!AN11="","",IF(Responses!AN11="Selalu",4,IF(Responses!AN11="Sering",3,IF(Responses!AN11="Kadang - Kadang",2,IF(Responses!AN11="Jarang",1,0)))))</f>
        <v>2</v>
      </c>
      <c r="P11" s="8">
        <f>IF(Responses!AO11="","",IF(Responses!AO11="Selalu",4,IF(Responses!AO11="Sering",3,IF(Responses!AO11="Kadang - Kadang",2,IF(Responses!AO11="Jarang",1,0)))))</f>
        <v>2</v>
      </c>
      <c r="Q11" s="8">
        <f>IF(Responses!AP11="","",IF(Responses!AP11="Selalu",4,IF(Responses!AP11="Sering",3,IF(Responses!AP11="Kadang - Kadang",2,IF(Responses!AP11="Jarang",1,0)))))</f>
        <v>2</v>
      </c>
      <c r="R11" s="8">
        <f>IF(Responses!AQ11="","",IF(Responses!AQ11="Selalu",4,IF(Responses!AQ11="Sering",3,IF(Responses!AQ11="Kadang - Kadang",2,IF(Responses!AQ11="Jarang",1,0)))))</f>
        <v>1</v>
      </c>
      <c r="S11" s="8">
        <f>IF(Responses!AR11="","",IF(Responses!AR11="Selalu",4,IF(Responses!AR11="Sering",3,IF(Responses!AR11="Kadang - Kadang",2,IF(Responses!AR11="Jarang",1,0)))))</f>
        <v>1</v>
      </c>
      <c r="T11" s="8">
        <f>IF(Responses!AS11="","",IF(Responses!AS11="Selalu",4,IF(Responses!AS11="Sering",3,IF(Responses!AS11="Kadang - Kadang",2,IF(Responses!AS11="Jarang",1,0)))))</f>
        <v>0</v>
      </c>
      <c r="U11" s="8">
        <f>IF(Responses!AT11="","",IF(Responses!AT11="Selalu",4,IF(Responses!AT11="Sering",3,IF(Responses!AT11="Kadang - Kadang",2,IF(Responses!AT11="Jarang",1,0)))))</f>
        <v>2</v>
      </c>
      <c r="V11" s="8">
        <f>IF(Responses!AU11="","",IF(Responses!AU11="Selalu",4,IF(Responses!AU11="Sering",3,IF(Responses!AU11="Kadang - Kadang",2,IF(Responses!AU11="Jarang",1,0)))))</f>
        <v>2</v>
      </c>
      <c r="W11" s="8">
        <f>IF(Responses!AV11="","",IF(Responses!AV11="Selalu",4,IF(Responses!AV11="Sering",3,IF(Responses!AV11="Kadang - Kadang",2,IF(Responses!AV11="Jarang",1,0)))))</f>
        <v>2</v>
      </c>
      <c r="X11" s="8">
        <f>IF(Responses!AW11="","",IF(Responses!AW11="Selalu",4,IF(Responses!AW11="Sering",3,IF(Responses!AW11="Kadang - Kadang",2,IF(Responses!AW11="Jarang",1,0)))))</f>
        <v>0</v>
      </c>
      <c r="Y11" s="20">
        <f t="shared" si="0"/>
        <v>28</v>
      </c>
      <c r="Z11" s="22" t="str">
        <f t="shared" si="1"/>
        <v>Tidak/Sedikit Kecanduan</v>
      </c>
    </row>
    <row r="12" spans="1:26" x14ac:dyDescent="0.3">
      <c r="A12" s="19" t="str">
        <f>Responses!A12</f>
        <v>e5QVkve</v>
      </c>
      <c r="B12" s="19" t="str">
        <f>Responses!B12</f>
        <v>RGZO2Ov</v>
      </c>
      <c r="C12" s="19">
        <f>Responses!C12</f>
        <v>46136.093576388892</v>
      </c>
      <c r="D12" s="19" t="str">
        <f>Responses!D12</f>
        <v xml:space="preserve">Nabila Putri Herawati </v>
      </c>
      <c r="E12" s="19" t="str">
        <f>Responses!E12</f>
        <v>XI-1</v>
      </c>
      <c r="F12" s="19">
        <f>Responses!F12</f>
        <v>16</v>
      </c>
      <c r="G12" s="8">
        <f>IF(Responses!AF12="","",IF(Responses!AF12="Selalu",4,IF(Responses!AF12="Sering",3,IF(Responses!AF12="Kadang - Kadang",2,IF(Responses!AF12="Jarang",1,0)))))</f>
        <v>2</v>
      </c>
      <c r="H12" s="8">
        <f>IF(Responses!AG12="","",IF(Responses!AG12="Selalu",4,IF(Responses!AG12="Sering",3,IF(Responses!AG12="Kadang - Kadang",2,IF(Responses!AG12="Jarang",1,0)))))</f>
        <v>0</v>
      </c>
      <c r="I12" s="8">
        <f>IF(Responses!AH12="","",IF(Responses!AH12="Selalu",4,IF(Responses!AH12="Sering",3,IF(Responses!AH12="Kadang - Kadang",2,IF(Responses!AH12="Jarang",1,0)))))</f>
        <v>0</v>
      </c>
      <c r="J12" s="8">
        <f>IF(Responses!AI12="","",IF(Responses!AI12="Selalu",4,IF(Responses!AI12="Sering",3,IF(Responses!AI12="Kadang - Kadang",2,IF(Responses!AI12="Jarang",1,0)))))</f>
        <v>1</v>
      </c>
      <c r="K12" s="8">
        <f>IF(Responses!AJ12="","",IF(Responses!AJ12="Selalu",4,IF(Responses!AJ12="Sering",3,IF(Responses!AJ12="Kadang - Kadang",2,IF(Responses!AJ12="Jarang",1,0)))))</f>
        <v>0</v>
      </c>
      <c r="L12" s="8">
        <f>IF(Responses!AK12="","",IF(Responses!AK12="Selalu",4,IF(Responses!AK12="Sering",3,IF(Responses!AK12="Kadang - Kadang",2,IF(Responses!AK12="Jarang",1,0)))))</f>
        <v>0</v>
      </c>
      <c r="M12" s="8">
        <f>IF(Responses!AL12="","",IF(Responses!AL12="Selalu",4,IF(Responses!AL12="Sering",3,IF(Responses!AL12="Kadang - Kadang",2,IF(Responses!AL12="Jarang",1,0)))))</f>
        <v>0</v>
      </c>
      <c r="N12" s="8">
        <f>IF(Responses!AM12="","",IF(Responses!AM12="Selalu",4,IF(Responses!AM12="Sering",3,IF(Responses!AM12="Kadang - Kadang",2,IF(Responses!AM12="Jarang",1,0)))))</f>
        <v>2</v>
      </c>
      <c r="O12" s="8">
        <f>IF(Responses!AN12="","",IF(Responses!AN12="Selalu",4,IF(Responses!AN12="Sering",3,IF(Responses!AN12="Kadang - Kadang",2,IF(Responses!AN12="Jarang",1,0)))))</f>
        <v>0</v>
      </c>
      <c r="P12" s="8">
        <f>IF(Responses!AO12="","",IF(Responses!AO12="Selalu",4,IF(Responses!AO12="Sering",3,IF(Responses!AO12="Kadang - Kadang",2,IF(Responses!AO12="Jarang",1,0)))))</f>
        <v>3</v>
      </c>
      <c r="Q12" s="8">
        <f>IF(Responses!AP12="","",IF(Responses!AP12="Selalu",4,IF(Responses!AP12="Sering",3,IF(Responses!AP12="Kadang - Kadang",2,IF(Responses!AP12="Jarang",1,0)))))</f>
        <v>0</v>
      </c>
      <c r="R12" s="8">
        <f>IF(Responses!AQ12="","",IF(Responses!AQ12="Selalu",4,IF(Responses!AQ12="Sering",3,IF(Responses!AQ12="Kadang - Kadang",2,IF(Responses!AQ12="Jarang",1,0)))))</f>
        <v>0</v>
      </c>
      <c r="S12" s="8">
        <f>IF(Responses!AR12="","",IF(Responses!AR12="Selalu",4,IF(Responses!AR12="Sering",3,IF(Responses!AR12="Kadang - Kadang",2,IF(Responses!AR12="Jarang",1,0)))))</f>
        <v>0</v>
      </c>
      <c r="T12" s="8">
        <f>IF(Responses!AS12="","",IF(Responses!AS12="Selalu",4,IF(Responses!AS12="Sering",3,IF(Responses!AS12="Kadang - Kadang",2,IF(Responses!AS12="Jarang",1,0)))))</f>
        <v>1</v>
      </c>
      <c r="U12" s="8">
        <f>IF(Responses!AT12="","",IF(Responses!AT12="Selalu",4,IF(Responses!AT12="Sering",3,IF(Responses!AT12="Kadang - Kadang",2,IF(Responses!AT12="Jarang",1,0)))))</f>
        <v>2</v>
      </c>
      <c r="V12" s="8">
        <f>IF(Responses!AU12="","",IF(Responses!AU12="Selalu",4,IF(Responses!AU12="Sering",3,IF(Responses!AU12="Kadang - Kadang",2,IF(Responses!AU12="Jarang",1,0)))))</f>
        <v>0</v>
      </c>
      <c r="W12" s="8">
        <f>IF(Responses!AV12="","",IF(Responses!AV12="Selalu",4,IF(Responses!AV12="Sering",3,IF(Responses!AV12="Kadang - Kadang",2,IF(Responses!AV12="Jarang",1,0)))))</f>
        <v>2</v>
      </c>
      <c r="X12" s="8">
        <f>IF(Responses!AW12="","",IF(Responses!AW12="Selalu",4,IF(Responses!AW12="Sering",3,IF(Responses!AW12="Kadang - Kadang",2,IF(Responses!AW12="Jarang",1,0)))))</f>
        <v>1</v>
      </c>
      <c r="Y12" s="20">
        <f t="shared" si="0"/>
        <v>14</v>
      </c>
      <c r="Z12" s="22" t="str">
        <f t="shared" si="1"/>
        <v>Tidak/Sedikit Kecanduan</v>
      </c>
    </row>
    <row r="13" spans="1:26" x14ac:dyDescent="0.3">
      <c r="A13" s="19" t="str">
        <f>Responses!A13</f>
        <v>kbe2MX6</v>
      </c>
      <c r="B13" s="19" t="str">
        <f>Responses!B13</f>
        <v>dWZ7pEd</v>
      </c>
      <c r="C13" s="19">
        <f>Responses!C13</f>
        <v>46136.093622685177</v>
      </c>
      <c r="D13" s="19" t="str">
        <f>Responses!D13</f>
        <v>Arsyita</v>
      </c>
      <c r="E13" s="19" t="str">
        <f>Responses!E13</f>
        <v>XI-1</v>
      </c>
      <c r="F13" s="19">
        <f>Responses!F13</f>
        <v>16</v>
      </c>
      <c r="G13" s="8">
        <f>IF(Responses!AF13="","",IF(Responses!AF13="Selalu",4,IF(Responses!AF13="Sering",3,IF(Responses!AF13="Kadang - Kadang",2,IF(Responses!AF13="Jarang",1,0)))))</f>
        <v>4</v>
      </c>
      <c r="H13" s="8">
        <f>IF(Responses!AG13="","",IF(Responses!AG13="Selalu",4,IF(Responses!AG13="Sering",3,IF(Responses!AG13="Kadang - Kadang",2,IF(Responses!AG13="Jarang",1,0)))))</f>
        <v>2</v>
      </c>
      <c r="I13" s="8">
        <f>IF(Responses!AH13="","",IF(Responses!AH13="Selalu",4,IF(Responses!AH13="Sering",3,IF(Responses!AH13="Kadang - Kadang",2,IF(Responses!AH13="Jarang",1,0)))))</f>
        <v>3</v>
      </c>
      <c r="J13" s="8">
        <f>IF(Responses!AI13="","",IF(Responses!AI13="Selalu",4,IF(Responses!AI13="Sering",3,IF(Responses!AI13="Kadang - Kadang",2,IF(Responses!AI13="Jarang",1,0)))))</f>
        <v>1</v>
      </c>
      <c r="K13" s="8">
        <f>IF(Responses!AJ13="","",IF(Responses!AJ13="Selalu",4,IF(Responses!AJ13="Sering",3,IF(Responses!AJ13="Kadang - Kadang",2,IF(Responses!AJ13="Jarang",1,0)))))</f>
        <v>1</v>
      </c>
      <c r="L13" s="8">
        <f>IF(Responses!AK13="","",IF(Responses!AK13="Selalu",4,IF(Responses!AK13="Sering",3,IF(Responses!AK13="Kadang - Kadang",2,IF(Responses!AK13="Jarang",1,0)))))</f>
        <v>0</v>
      </c>
      <c r="M13" s="8">
        <f>IF(Responses!AL13="","",IF(Responses!AL13="Selalu",4,IF(Responses!AL13="Sering",3,IF(Responses!AL13="Kadang - Kadang",2,IF(Responses!AL13="Jarang",1,0)))))</f>
        <v>1</v>
      </c>
      <c r="N13" s="8">
        <f>IF(Responses!AM13="","",IF(Responses!AM13="Selalu",4,IF(Responses!AM13="Sering",3,IF(Responses!AM13="Kadang - Kadang",2,IF(Responses!AM13="Jarang",1,0)))))</f>
        <v>1</v>
      </c>
      <c r="O13" s="8">
        <f>IF(Responses!AN13="","",IF(Responses!AN13="Selalu",4,IF(Responses!AN13="Sering",3,IF(Responses!AN13="Kadang - Kadang",2,IF(Responses!AN13="Jarang",1,0)))))</f>
        <v>1</v>
      </c>
      <c r="P13" s="8">
        <f>IF(Responses!AO13="","",IF(Responses!AO13="Selalu",4,IF(Responses!AO13="Sering",3,IF(Responses!AO13="Kadang - Kadang",2,IF(Responses!AO13="Jarang",1,0)))))</f>
        <v>2</v>
      </c>
      <c r="Q13" s="8">
        <f>IF(Responses!AP13="","",IF(Responses!AP13="Selalu",4,IF(Responses!AP13="Sering",3,IF(Responses!AP13="Kadang - Kadang",2,IF(Responses!AP13="Jarang",1,0)))))</f>
        <v>2</v>
      </c>
      <c r="R13" s="8">
        <f>IF(Responses!AQ13="","",IF(Responses!AQ13="Selalu",4,IF(Responses!AQ13="Sering",3,IF(Responses!AQ13="Kadang - Kadang",2,IF(Responses!AQ13="Jarang",1,0)))))</f>
        <v>3</v>
      </c>
      <c r="S13" s="8">
        <f>IF(Responses!AR13="","",IF(Responses!AR13="Selalu",4,IF(Responses!AR13="Sering",3,IF(Responses!AR13="Kadang - Kadang",2,IF(Responses!AR13="Jarang",1,0)))))</f>
        <v>3</v>
      </c>
      <c r="T13" s="8">
        <f>IF(Responses!AS13="","",IF(Responses!AS13="Selalu",4,IF(Responses!AS13="Sering",3,IF(Responses!AS13="Kadang - Kadang",2,IF(Responses!AS13="Jarang",1,0)))))</f>
        <v>1</v>
      </c>
      <c r="U13" s="8">
        <f>IF(Responses!AT13="","",IF(Responses!AT13="Selalu",4,IF(Responses!AT13="Sering",3,IF(Responses!AT13="Kadang - Kadang",2,IF(Responses!AT13="Jarang",1,0)))))</f>
        <v>1</v>
      </c>
      <c r="V13" s="8">
        <f>IF(Responses!AU13="","",IF(Responses!AU13="Selalu",4,IF(Responses!AU13="Sering",3,IF(Responses!AU13="Kadang - Kadang",2,IF(Responses!AU13="Jarang",1,0)))))</f>
        <v>1</v>
      </c>
      <c r="W13" s="8">
        <f>IF(Responses!AV13="","",IF(Responses!AV13="Selalu",4,IF(Responses!AV13="Sering",3,IF(Responses!AV13="Kadang - Kadang",2,IF(Responses!AV13="Jarang",1,0)))))</f>
        <v>2</v>
      </c>
      <c r="X13" s="8">
        <f>IF(Responses!AW13="","",IF(Responses!AW13="Selalu",4,IF(Responses!AW13="Sering",3,IF(Responses!AW13="Kadang - Kadang",2,IF(Responses!AW13="Jarang",1,0)))))</f>
        <v>0</v>
      </c>
      <c r="Y13" s="20">
        <f t="shared" si="0"/>
        <v>29</v>
      </c>
      <c r="Z13" s="22" t="str">
        <f t="shared" si="1"/>
        <v>Tidak/Sedikit Kecanduan</v>
      </c>
    </row>
    <row r="14" spans="1:26" x14ac:dyDescent="0.3">
      <c r="A14" s="19" t="str">
        <f>Responses!A14</f>
        <v>4aJMgJX</v>
      </c>
      <c r="B14" s="19" t="str">
        <f>Responses!B14</f>
        <v>xX0Go49</v>
      </c>
      <c r="C14" s="19">
        <f>Responses!C14</f>
        <v>46136.0937037037</v>
      </c>
      <c r="D14" s="19" t="str">
        <f>Responses!D14</f>
        <v>Maya Rosela Wati</v>
      </c>
      <c r="E14" s="19" t="str">
        <f>Responses!E14</f>
        <v>XI-1</v>
      </c>
      <c r="F14" s="19">
        <f>Responses!F14</f>
        <v>16</v>
      </c>
      <c r="G14" s="8">
        <f>IF(Responses!AF14="","",IF(Responses!AF14="Selalu",4,IF(Responses!AF14="Sering",3,IF(Responses!AF14="Kadang - Kadang",2,IF(Responses!AF14="Jarang",1,0)))))</f>
        <v>2</v>
      </c>
      <c r="H14" s="8">
        <f>IF(Responses!AG14="","",IF(Responses!AG14="Selalu",4,IF(Responses!AG14="Sering",3,IF(Responses!AG14="Kadang - Kadang",2,IF(Responses!AG14="Jarang",1,0)))))</f>
        <v>1</v>
      </c>
      <c r="I14" s="8">
        <f>IF(Responses!AH14="","",IF(Responses!AH14="Selalu",4,IF(Responses!AH14="Sering",3,IF(Responses!AH14="Kadang - Kadang",2,IF(Responses!AH14="Jarang",1,0)))))</f>
        <v>1</v>
      </c>
      <c r="J14" s="8">
        <f>IF(Responses!AI14="","",IF(Responses!AI14="Selalu",4,IF(Responses!AI14="Sering",3,IF(Responses!AI14="Kadang - Kadang",2,IF(Responses!AI14="Jarang",1,0)))))</f>
        <v>0</v>
      </c>
      <c r="K14" s="8">
        <f>IF(Responses!AJ14="","",IF(Responses!AJ14="Selalu",4,IF(Responses!AJ14="Sering",3,IF(Responses!AJ14="Kadang - Kadang",2,IF(Responses!AJ14="Jarang",1,0)))))</f>
        <v>0</v>
      </c>
      <c r="L14" s="8">
        <f>IF(Responses!AK14="","",IF(Responses!AK14="Selalu",4,IF(Responses!AK14="Sering",3,IF(Responses!AK14="Kadang - Kadang",2,IF(Responses!AK14="Jarang",1,0)))))</f>
        <v>0</v>
      </c>
      <c r="M14" s="8">
        <f>IF(Responses!AL14="","",IF(Responses!AL14="Selalu",4,IF(Responses!AL14="Sering",3,IF(Responses!AL14="Kadang - Kadang",2,IF(Responses!AL14="Jarang",1,0)))))</f>
        <v>0</v>
      </c>
      <c r="N14" s="8">
        <f>IF(Responses!AM14="","",IF(Responses!AM14="Selalu",4,IF(Responses!AM14="Sering",3,IF(Responses!AM14="Kadang - Kadang",2,IF(Responses!AM14="Jarang",1,0)))))</f>
        <v>1</v>
      </c>
      <c r="O14" s="8">
        <f>IF(Responses!AN14="","",IF(Responses!AN14="Selalu",4,IF(Responses!AN14="Sering",3,IF(Responses!AN14="Kadang - Kadang",2,IF(Responses!AN14="Jarang",1,0)))))</f>
        <v>0</v>
      </c>
      <c r="P14" s="8">
        <f>IF(Responses!AO14="","",IF(Responses!AO14="Selalu",4,IF(Responses!AO14="Sering",3,IF(Responses!AO14="Kadang - Kadang",2,IF(Responses!AO14="Jarang",1,0)))))</f>
        <v>0</v>
      </c>
      <c r="Q14" s="8">
        <f>IF(Responses!AP14="","",IF(Responses!AP14="Selalu",4,IF(Responses!AP14="Sering",3,IF(Responses!AP14="Kadang - Kadang",2,IF(Responses!AP14="Jarang",1,0)))))</f>
        <v>0</v>
      </c>
      <c r="R14" s="8">
        <f>IF(Responses!AQ14="","",IF(Responses!AQ14="Selalu",4,IF(Responses!AQ14="Sering",3,IF(Responses!AQ14="Kadang - Kadang",2,IF(Responses!AQ14="Jarang",1,0)))))</f>
        <v>0</v>
      </c>
      <c r="S14" s="8">
        <f>IF(Responses!AR14="","",IF(Responses!AR14="Selalu",4,IF(Responses!AR14="Sering",3,IF(Responses!AR14="Kadang - Kadang",2,IF(Responses!AR14="Jarang",1,0)))))</f>
        <v>0</v>
      </c>
      <c r="T14" s="8">
        <f>IF(Responses!AS14="","",IF(Responses!AS14="Selalu",4,IF(Responses!AS14="Sering",3,IF(Responses!AS14="Kadang - Kadang",2,IF(Responses!AS14="Jarang",1,0)))))</f>
        <v>0</v>
      </c>
      <c r="U14" s="8">
        <f>IF(Responses!AT14="","",IF(Responses!AT14="Selalu",4,IF(Responses!AT14="Sering",3,IF(Responses!AT14="Kadang - Kadang",2,IF(Responses!AT14="Jarang",1,0)))))</f>
        <v>0</v>
      </c>
      <c r="V14" s="8">
        <f>IF(Responses!AU14="","",IF(Responses!AU14="Selalu",4,IF(Responses!AU14="Sering",3,IF(Responses!AU14="Kadang - Kadang",2,IF(Responses!AU14="Jarang",1,0)))))</f>
        <v>1</v>
      </c>
      <c r="W14" s="8">
        <f>IF(Responses!AV14="","",IF(Responses!AV14="Selalu",4,IF(Responses!AV14="Sering",3,IF(Responses!AV14="Kadang - Kadang",2,IF(Responses!AV14="Jarang",1,0)))))</f>
        <v>0</v>
      </c>
      <c r="X14" s="8">
        <f>IF(Responses!AW14="","",IF(Responses!AW14="Selalu",4,IF(Responses!AW14="Sering",3,IF(Responses!AW14="Kadang - Kadang",2,IF(Responses!AW14="Jarang",1,0)))))</f>
        <v>0</v>
      </c>
      <c r="Y14" s="20">
        <f t="shared" si="0"/>
        <v>6</v>
      </c>
      <c r="Z14" s="22" t="str">
        <f t="shared" si="1"/>
        <v>Tidak/Sedikit Kecanduan</v>
      </c>
    </row>
    <row r="15" spans="1:26" x14ac:dyDescent="0.3">
      <c r="A15" s="19" t="str">
        <f>Responses!A15</f>
        <v>OQ46WJA</v>
      </c>
      <c r="B15" s="19" t="str">
        <f>Responses!B15</f>
        <v>D4XLY9Z</v>
      </c>
      <c r="C15" s="19">
        <f>Responses!C15</f>
        <v>46136.093761574077</v>
      </c>
      <c r="D15" s="19" t="str">
        <f>Responses!D15</f>
        <v xml:space="preserve">Danna Arya Dewanta </v>
      </c>
      <c r="E15" s="19" t="str">
        <f>Responses!E15</f>
        <v>XI-1</v>
      </c>
      <c r="F15" s="19">
        <f>Responses!F15</f>
        <v>17</v>
      </c>
      <c r="G15" s="8">
        <f>IF(Responses!AF15="","",IF(Responses!AF15="Selalu",4,IF(Responses!AF15="Sering",3,IF(Responses!AF15="Kadang - Kadang",2,IF(Responses!AF15="Jarang",1,0)))))</f>
        <v>3</v>
      </c>
      <c r="H15" s="8">
        <f>IF(Responses!AG15="","",IF(Responses!AG15="Selalu",4,IF(Responses!AG15="Sering",3,IF(Responses!AG15="Kadang - Kadang",2,IF(Responses!AG15="Jarang",1,0)))))</f>
        <v>2</v>
      </c>
      <c r="I15" s="8">
        <f>IF(Responses!AH15="","",IF(Responses!AH15="Selalu",4,IF(Responses!AH15="Sering",3,IF(Responses!AH15="Kadang - Kadang",2,IF(Responses!AH15="Jarang",1,0)))))</f>
        <v>2</v>
      </c>
      <c r="J15" s="8">
        <f>IF(Responses!AI15="","",IF(Responses!AI15="Selalu",4,IF(Responses!AI15="Sering",3,IF(Responses!AI15="Kadang - Kadang",2,IF(Responses!AI15="Jarang",1,0)))))</f>
        <v>1</v>
      </c>
      <c r="K15" s="8">
        <f>IF(Responses!AJ15="","",IF(Responses!AJ15="Selalu",4,IF(Responses!AJ15="Sering",3,IF(Responses!AJ15="Kadang - Kadang",2,IF(Responses!AJ15="Jarang",1,0)))))</f>
        <v>1</v>
      </c>
      <c r="L15" s="8">
        <f>IF(Responses!AK15="","",IF(Responses!AK15="Selalu",4,IF(Responses!AK15="Sering",3,IF(Responses!AK15="Kadang - Kadang",2,IF(Responses!AK15="Jarang",1,0)))))</f>
        <v>0</v>
      </c>
      <c r="M15" s="8">
        <f>IF(Responses!AL15="","",IF(Responses!AL15="Selalu",4,IF(Responses!AL15="Sering",3,IF(Responses!AL15="Kadang - Kadang",2,IF(Responses!AL15="Jarang",1,0)))))</f>
        <v>1</v>
      </c>
      <c r="N15" s="8">
        <f>IF(Responses!AM15="","",IF(Responses!AM15="Selalu",4,IF(Responses!AM15="Sering",3,IF(Responses!AM15="Kadang - Kadang",2,IF(Responses!AM15="Jarang",1,0)))))</f>
        <v>3</v>
      </c>
      <c r="O15" s="8">
        <f>IF(Responses!AN15="","",IF(Responses!AN15="Selalu",4,IF(Responses!AN15="Sering",3,IF(Responses!AN15="Kadang - Kadang",2,IF(Responses!AN15="Jarang",1,0)))))</f>
        <v>0</v>
      </c>
      <c r="P15" s="8">
        <f>IF(Responses!AO15="","",IF(Responses!AO15="Selalu",4,IF(Responses!AO15="Sering",3,IF(Responses!AO15="Kadang - Kadang",2,IF(Responses!AO15="Jarang",1,0)))))</f>
        <v>4</v>
      </c>
      <c r="Q15" s="8">
        <f>IF(Responses!AP15="","",IF(Responses!AP15="Selalu",4,IF(Responses!AP15="Sering",3,IF(Responses!AP15="Kadang - Kadang",2,IF(Responses!AP15="Jarang",1,0)))))</f>
        <v>3</v>
      </c>
      <c r="R15" s="8">
        <f>IF(Responses!AQ15="","",IF(Responses!AQ15="Selalu",4,IF(Responses!AQ15="Sering",3,IF(Responses!AQ15="Kadang - Kadang",2,IF(Responses!AQ15="Jarang",1,0)))))</f>
        <v>1</v>
      </c>
      <c r="S15" s="8">
        <f>IF(Responses!AR15="","",IF(Responses!AR15="Selalu",4,IF(Responses!AR15="Sering",3,IF(Responses!AR15="Kadang - Kadang",2,IF(Responses!AR15="Jarang",1,0)))))</f>
        <v>3</v>
      </c>
      <c r="T15" s="8">
        <f>IF(Responses!AS15="","",IF(Responses!AS15="Selalu",4,IF(Responses!AS15="Sering",3,IF(Responses!AS15="Kadang - Kadang",2,IF(Responses!AS15="Jarang",1,0)))))</f>
        <v>2</v>
      </c>
      <c r="U15" s="8">
        <f>IF(Responses!AT15="","",IF(Responses!AT15="Selalu",4,IF(Responses!AT15="Sering",3,IF(Responses!AT15="Kadang - Kadang",2,IF(Responses!AT15="Jarang",1,0)))))</f>
        <v>3</v>
      </c>
      <c r="V15" s="8">
        <f>IF(Responses!AU15="","",IF(Responses!AU15="Selalu",4,IF(Responses!AU15="Sering",3,IF(Responses!AU15="Kadang - Kadang",2,IF(Responses!AU15="Jarang",1,0)))))</f>
        <v>1</v>
      </c>
      <c r="W15" s="8">
        <f>IF(Responses!AV15="","",IF(Responses!AV15="Selalu",4,IF(Responses!AV15="Sering",3,IF(Responses!AV15="Kadang - Kadang",2,IF(Responses!AV15="Jarang",1,0)))))</f>
        <v>2</v>
      </c>
      <c r="X15" s="8">
        <f>IF(Responses!AW15="","",IF(Responses!AW15="Selalu",4,IF(Responses!AW15="Sering",3,IF(Responses!AW15="Kadang - Kadang",2,IF(Responses!AW15="Jarang",1,0)))))</f>
        <v>3</v>
      </c>
      <c r="Y15" s="20">
        <f t="shared" si="0"/>
        <v>35</v>
      </c>
      <c r="Z15" s="22" t="str">
        <f t="shared" si="1"/>
        <v>Kecanduan Borderline</v>
      </c>
    </row>
    <row r="16" spans="1:26" x14ac:dyDescent="0.3">
      <c r="A16" s="19" t="str">
        <f>Responses!A16</f>
        <v>zEykaz1</v>
      </c>
      <c r="B16" s="19" t="str">
        <f>Responses!B16</f>
        <v>kd0Lppo</v>
      </c>
      <c r="C16" s="19">
        <f>Responses!C16</f>
        <v>46136.093738425923</v>
      </c>
      <c r="D16" s="19" t="str">
        <f>Responses!D16</f>
        <v>Naila Kintan Azizti</v>
      </c>
      <c r="E16" s="19" t="str">
        <f>Responses!E16</f>
        <v>XI-1</v>
      </c>
      <c r="F16" s="19">
        <f>Responses!F16</f>
        <v>17</v>
      </c>
      <c r="G16" s="8">
        <f>IF(Responses!AF16="","",IF(Responses!AF16="Selalu",4,IF(Responses!AF16="Sering",3,IF(Responses!AF16="Kadang - Kadang",2,IF(Responses!AF16="Jarang",1,0)))))</f>
        <v>1</v>
      </c>
      <c r="H16" s="8">
        <f>IF(Responses!AG16="","",IF(Responses!AG16="Selalu",4,IF(Responses!AG16="Sering",3,IF(Responses!AG16="Kadang - Kadang",2,IF(Responses!AG16="Jarang",1,0)))))</f>
        <v>1</v>
      </c>
      <c r="I16" s="8">
        <f>IF(Responses!AH16="","",IF(Responses!AH16="Selalu",4,IF(Responses!AH16="Sering",3,IF(Responses!AH16="Kadang - Kadang",2,IF(Responses!AH16="Jarang",1,0)))))</f>
        <v>0</v>
      </c>
      <c r="J16" s="8">
        <f>IF(Responses!AI16="","",IF(Responses!AI16="Selalu",4,IF(Responses!AI16="Sering",3,IF(Responses!AI16="Kadang - Kadang",2,IF(Responses!AI16="Jarang",1,0)))))</f>
        <v>0</v>
      </c>
      <c r="K16" s="8">
        <f>IF(Responses!AJ16="","",IF(Responses!AJ16="Selalu",4,IF(Responses!AJ16="Sering",3,IF(Responses!AJ16="Kadang - Kadang",2,IF(Responses!AJ16="Jarang",1,0)))))</f>
        <v>0</v>
      </c>
      <c r="L16" s="8">
        <f>IF(Responses!AK16="","",IF(Responses!AK16="Selalu",4,IF(Responses!AK16="Sering",3,IF(Responses!AK16="Kadang - Kadang",2,IF(Responses!AK16="Jarang",1,0)))))</f>
        <v>0</v>
      </c>
      <c r="M16" s="8">
        <f>IF(Responses!AL16="","",IF(Responses!AL16="Selalu",4,IF(Responses!AL16="Sering",3,IF(Responses!AL16="Kadang - Kadang",2,IF(Responses!AL16="Jarang",1,0)))))</f>
        <v>1</v>
      </c>
      <c r="N16" s="8">
        <f>IF(Responses!AM16="","",IF(Responses!AM16="Selalu",4,IF(Responses!AM16="Sering",3,IF(Responses!AM16="Kadang - Kadang",2,IF(Responses!AM16="Jarang",1,0)))))</f>
        <v>2</v>
      </c>
      <c r="O16" s="8">
        <f>IF(Responses!AN16="","",IF(Responses!AN16="Selalu",4,IF(Responses!AN16="Sering",3,IF(Responses!AN16="Kadang - Kadang",2,IF(Responses!AN16="Jarang",1,0)))))</f>
        <v>0</v>
      </c>
      <c r="P16" s="8">
        <f>IF(Responses!AO16="","",IF(Responses!AO16="Selalu",4,IF(Responses!AO16="Sering",3,IF(Responses!AO16="Kadang - Kadang",2,IF(Responses!AO16="Jarang",1,0)))))</f>
        <v>2</v>
      </c>
      <c r="Q16" s="8">
        <f>IF(Responses!AP16="","",IF(Responses!AP16="Selalu",4,IF(Responses!AP16="Sering",3,IF(Responses!AP16="Kadang - Kadang",2,IF(Responses!AP16="Jarang",1,0)))))</f>
        <v>0</v>
      </c>
      <c r="R16" s="8">
        <f>IF(Responses!AQ16="","",IF(Responses!AQ16="Selalu",4,IF(Responses!AQ16="Sering",3,IF(Responses!AQ16="Kadang - Kadang",2,IF(Responses!AQ16="Jarang",1,0)))))</f>
        <v>1</v>
      </c>
      <c r="S16" s="8">
        <f>IF(Responses!AR16="","",IF(Responses!AR16="Selalu",4,IF(Responses!AR16="Sering",3,IF(Responses!AR16="Kadang - Kadang",2,IF(Responses!AR16="Jarang",1,0)))))</f>
        <v>1</v>
      </c>
      <c r="T16" s="8">
        <f>IF(Responses!AS16="","",IF(Responses!AS16="Selalu",4,IF(Responses!AS16="Sering",3,IF(Responses!AS16="Kadang - Kadang",2,IF(Responses!AS16="Jarang",1,0)))))</f>
        <v>0</v>
      </c>
      <c r="U16" s="8">
        <f>IF(Responses!AT16="","",IF(Responses!AT16="Selalu",4,IF(Responses!AT16="Sering",3,IF(Responses!AT16="Kadang - Kadang",2,IF(Responses!AT16="Jarang",1,0)))))</f>
        <v>1</v>
      </c>
      <c r="V16" s="8">
        <f>IF(Responses!AU16="","",IF(Responses!AU16="Selalu",4,IF(Responses!AU16="Sering",3,IF(Responses!AU16="Kadang - Kadang",2,IF(Responses!AU16="Jarang",1,0)))))</f>
        <v>0</v>
      </c>
      <c r="W16" s="8">
        <f>IF(Responses!AV16="","",IF(Responses!AV16="Selalu",4,IF(Responses!AV16="Sering",3,IF(Responses!AV16="Kadang - Kadang",2,IF(Responses!AV16="Jarang",1,0)))))</f>
        <v>1</v>
      </c>
      <c r="X16" s="8">
        <f>IF(Responses!AW16="","",IF(Responses!AW16="Selalu",4,IF(Responses!AW16="Sering",3,IF(Responses!AW16="Kadang - Kadang",2,IF(Responses!AW16="Jarang",1,0)))))</f>
        <v>2</v>
      </c>
      <c r="Y16" s="20">
        <f t="shared" si="0"/>
        <v>13</v>
      </c>
      <c r="Z16" s="22" t="str">
        <f t="shared" si="1"/>
        <v>Tidak/Sedikit Kecanduan</v>
      </c>
    </row>
    <row r="17" spans="1:26" x14ac:dyDescent="0.3">
      <c r="A17" s="19" t="str">
        <f>Responses!A17</f>
        <v>rDaexJX</v>
      </c>
      <c r="B17" s="19" t="str">
        <f>Responses!B17</f>
        <v>pb0gMEb</v>
      </c>
      <c r="C17" s="19">
        <f>Responses!C17</f>
        <v>46136.093784722223</v>
      </c>
      <c r="D17" s="19" t="str">
        <f>Responses!D17</f>
        <v>Ale</v>
      </c>
      <c r="E17" s="19" t="str">
        <f>Responses!E17</f>
        <v>XI-1</v>
      </c>
      <c r="F17" s="19">
        <f>Responses!F17</f>
        <v>16</v>
      </c>
      <c r="G17" s="8">
        <f>IF(Responses!AF17="","",IF(Responses!AF17="Selalu",4,IF(Responses!AF17="Sering",3,IF(Responses!AF17="Kadang - Kadang",2,IF(Responses!AF17="Jarang",1,0)))))</f>
        <v>2</v>
      </c>
      <c r="H17" s="8">
        <f>IF(Responses!AG17="","",IF(Responses!AG17="Selalu",4,IF(Responses!AG17="Sering",3,IF(Responses!AG17="Kadang - Kadang",2,IF(Responses!AG17="Jarang",1,0)))))</f>
        <v>2</v>
      </c>
      <c r="I17" s="8">
        <f>IF(Responses!AH17="","",IF(Responses!AH17="Selalu",4,IF(Responses!AH17="Sering",3,IF(Responses!AH17="Kadang - Kadang",2,IF(Responses!AH17="Jarang",1,0)))))</f>
        <v>2</v>
      </c>
      <c r="J17" s="8">
        <f>IF(Responses!AI17="","",IF(Responses!AI17="Selalu",4,IF(Responses!AI17="Sering",3,IF(Responses!AI17="Kadang - Kadang",2,IF(Responses!AI17="Jarang",1,0)))))</f>
        <v>1</v>
      </c>
      <c r="K17" s="8">
        <f>IF(Responses!AJ17="","",IF(Responses!AJ17="Selalu",4,IF(Responses!AJ17="Sering",3,IF(Responses!AJ17="Kadang - Kadang",2,IF(Responses!AJ17="Jarang",1,0)))))</f>
        <v>0</v>
      </c>
      <c r="L17" s="8">
        <f>IF(Responses!AK17="","",IF(Responses!AK17="Selalu",4,IF(Responses!AK17="Sering",3,IF(Responses!AK17="Kadang - Kadang",2,IF(Responses!AK17="Jarang",1,0)))))</f>
        <v>2</v>
      </c>
      <c r="M17" s="8">
        <f>IF(Responses!AL17="","",IF(Responses!AL17="Selalu",4,IF(Responses!AL17="Sering",3,IF(Responses!AL17="Kadang - Kadang",2,IF(Responses!AL17="Jarang",1,0)))))</f>
        <v>2</v>
      </c>
      <c r="N17" s="8">
        <f>IF(Responses!AM17="","",IF(Responses!AM17="Selalu",4,IF(Responses!AM17="Sering",3,IF(Responses!AM17="Kadang - Kadang",2,IF(Responses!AM17="Jarang",1,0)))))</f>
        <v>2</v>
      </c>
      <c r="O17" s="8">
        <f>IF(Responses!AN17="","",IF(Responses!AN17="Selalu",4,IF(Responses!AN17="Sering",3,IF(Responses!AN17="Kadang - Kadang",2,IF(Responses!AN17="Jarang",1,0)))))</f>
        <v>1</v>
      </c>
      <c r="P17" s="8">
        <f>IF(Responses!AO17="","",IF(Responses!AO17="Selalu",4,IF(Responses!AO17="Sering",3,IF(Responses!AO17="Kadang - Kadang",2,IF(Responses!AO17="Jarang",1,0)))))</f>
        <v>1</v>
      </c>
      <c r="Q17" s="8">
        <f>IF(Responses!AP17="","",IF(Responses!AP17="Selalu",4,IF(Responses!AP17="Sering",3,IF(Responses!AP17="Kadang - Kadang",2,IF(Responses!AP17="Jarang",1,0)))))</f>
        <v>1</v>
      </c>
      <c r="R17" s="8">
        <f>IF(Responses!AQ17="","",IF(Responses!AQ17="Selalu",4,IF(Responses!AQ17="Sering",3,IF(Responses!AQ17="Kadang - Kadang",2,IF(Responses!AQ17="Jarang",1,0)))))</f>
        <v>1</v>
      </c>
      <c r="S17" s="8">
        <f>IF(Responses!AR17="","",IF(Responses!AR17="Selalu",4,IF(Responses!AR17="Sering",3,IF(Responses!AR17="Kadang - Kadang",2,IF(Responses!AR17="Jarang",1,0)))))</f>
        <v>2</v>
      </c>
      <c r="T17" s="8">
        <f>IF(Responses!AS17="","",IF(Responses!AS17="Selalu",4,IF(Responses!AS17="Sering",3,IF(Responses!AS17="Kadang - Kadang",2,IF(Responses!AS17="Jarang",1,0)))))</f>
        <v>1</v>
      </c>
      <c r="U17" s="8">
        <f>IF(Responses!AT17="","",IF(Responses!AT17="Selalu",4,IF(Responses!AT17="Sering",3,IF(Responses!AT17="Kadang - Kadang",2,IF(Responses!AT17="Jarang",1,0)))))</f>
        <v>1</v>
      </c>
      <c r="V17" s="8">
        <f>IF(Responses!AU17="","",IF(Responses!AU17="Selalu",4,IF(Responses!AU17="Sering",3,IF(Responses!AU17="Kadang - Kadang",2,IF(Responses!AU17="Jarang",1,0)))))</f>
        <v>2</v>
      </c>
      <c r="W17" s="8">
        <f>IF(Responses!AV17="","",IF(Responses!AV17="Selalu",4,IF(Responses!AV17="Sering",3,IF(Responses!AV17="Kadang - Kadang",2,IF(Responses!AV17="Jarang",1,0)))))</f>
        <v>1</v>
      </c>
      <c r="X17" s="8">
        <f>IF(Responses!AW17="","",IF(Responses!AW17="Selalu",4,IF(Responses!AW17="Sering",3,IF(Responses!AW17="Kadang - Kadang",2,IF(Responses!AW17="Jarang",1,0)))))</f>
        <v>1</v>
      </c>
      <c r="Y17" s="20">
        <f t="shared" si="0"/>
        <v>25</v>
      </c>
      <c r="Z17" s="22" t="str">
        <f t="shared" si="1"/>
        <v>Tidak/Sedikit Kecanduan</v>
      </c>
    </row>
    <row r="18" spans="1:26" x14ac:dyDescent="0.3">
      <c r="A18" s="19" t="str">
        <f>Responses!A18</f>
        <v>Yj01LN0</v>
      </c>
      <c r="B18" s="19" t="str">
        <f>Responses!B18</f>
        <v>2Eb2549</v>
      </c>
      <c r="C18" s="19">
        <f>Responses!C18</f>
        <v>46136.093877314823</v>
      </c>
      <c r="D18" s="19" t="str">
        <f>Responses!D18</f>
        <v>Muhammad Ghozi Fakhruddin</v>
      </c>
      <c r="E18" s="19" t="str">
        <f>Responses!E18</f>
        <v>XI-1</v>
      </c>
      <c r="F18" s="19">
        <f>Responses!F18</f>
        <v>16</v>
      </c>
      <c r="G18" s="8">
        <f>IF(Responses!AF18="","",IF(Responses!AF18="Selalu",4,IF(Responses!AF18="Sering",3,IF(Responses!AF18="Kadang - Kadang",2,IF(Responses!AF18="Jarang",1,0)))))</f>
        <v>3</v>
      </c>
      <c r="H18" s="8">
        <f>IF(Responses!AG18="","",IF(Responses!AG18="Selalu",4,IF(Responses!AG18="Sering",3,IF(Responses!AG18="Kadang - Kadang",2,IF(Responses!AG18="Jarang",1,0)))))</f>
        <v>2</v>
      </c>
      <c r="I18" s="8">
        <f>IF(Responses!AH18="","",IF(Responses!AH18="Selalu",4,IF(Responses!AH18="Sering",3,IF(Responses!AH18="Kadang - Kadang",2,IF(Responses!AH18="Jarang",1,0)))))</f>
        <v>3</v>
      </c>
      <c r="J18" s="8">
        <f>IF(Responses!AI18="","",IF(Responses!AI18="Selalu",4,IF(Responses!AI18="Sering",3,IF(Responses!AI18="Kadang - Kadang",2,IF(Responses!AI18="Jarang",1,0)))))</f>
        <v>0</v>
      </c>
      <c r="K18" s="8">
        <f>IF(Responses!AJ18="","",IF(Responses!AJ18="Selalu",4,IF(Responses!AJ18="Sering",3,IF(Responses!AJ18="Kadang - Kadang",2,IF(Responses!AJ18="Jarang",1,0)))))</f>
        <v>2</v>
      </c>
      <c r="L18" s="8">
        <f>IF(Responses!AK18="","",IF(Responses!AK18="Selalu",4,IF(Responses!AK18="Sering",3,IF(Responses!AK18="Kadang - Kadang",2,IF(Responses!AK18="Jarang",1,0)))))</f>
        <v>2</v>
      </c>
      <c r="M18" s="8">
        <f>IF(Responses!AL18="","",IF(Responses!AL18="Selalu",4,IF(Responses!AL18="Sering",3,IF(Responses!AL18="Kadang - Kadang",2,IF(Responses!AL18="Jarang",1,0)))))</f>
        <v>3</v>
      </c>
      <c r="N18" s="8">
        <f>IF(Responses!AM18="","",IF(Responses!AM18="Selalu",4,IF(Responses!AM18="Sering",3,IF(Responses!AM18="Kadang - Kadang",2,IF(Responses!AM18="Jarang",1,0)))))</f>
        <v>1</v>
      </c>
      <c r="O18" s="8">
        <f>IF(Responses!AN18="","",IF(Responses!AN18="Selalu",4,IF(Responses!AN18="Sering",3,IF(Responses!AN18="Kadang - Kadang",2,IF(Responses!AN18="Jarang",1,0)))))</f>
        <v>1</v>
      </c>
      <c r="P18" s="8">
        <f>IF(Responses!AO18="","",IF(Responses!AO18="Selalu",4,IF(Responses!AO18="Sering",3,IF(Responses!AO18="Kadang - Kadang",2,IF(Responses!AO18="Jarang",1,0)))))</f>
        <v>1</v>
      </c>
      <c r="Q18" s="8">
        <f>IF(Responses!AP18="","",IF(Responses!AP18="Selalu",4,IF(Responses!AP18="Sering",3,IF(Responses!AP18="Kadang - Kadang",2,IF(Responses!AP18="Jarang",1,0)))))</f>
        <v>1</v>
      </c>
      <c r="R18" s="8">
        <f>IF(Responses!AQ18="","",IF(Responses!AQ18="Selalu",4,IF(Responses!AQ18="Sering",3,IF(Responses!AQ18="Kadang - Kadang",2,IF(Responses!AQ18="Jarang",1,0)))))</f>
        <v>4</v>
      </c>
      <c r="S18" s="8">
        <f>IF(Responses!AR18="","",IF(Responses!AR18="Selalu",4,IF(Responses!AR18="Sering",3,IF(Responses!AR18="Kadang - Kadang",2,IF(Responses!AR18="Jarang",1,0)))))</f>
        <v>3</v>
      </c>
      <c r="T18" s="8">
        <f>IF(Responses!AS18="","",IF(Responses!AS18="Selalu",4,IF(Responses!AS18="Sering",3,IF(Responses!AS18="Kadang - Kadang",2,IF(Responses!AS18="Jarang",1,0)))))</f>
        <v>1</v>
      </c>
      <c r="U18" s="8">
        <f>IF(Responses!AT18="","",IF(Responses!AT18="Selalu",4,IF(Responses!AT18="Sering",3,IF(Responses!AT18="Kadang - Kadang",2,IF(Responses!AT18="Jarang",1,0)))))</f>
        <v>1</v>
      </c>
      <c r="V18" s="8">
        <f>IF(Responses!AU18="","",IF(Responses!AU18="Selalu",4,IF(Responses!AU18="Sering",3,IF(Responses!AU18="Kadang - Kadang",2,IF(Responses!AU18="Jarang",1,0)))))</f>
        <v>0</v>
      </c>
      <c r="W18" s="8">
        <f>IF(Responses!AV18="","",IF(Responses!AV18="Selalu",4,IF(Responses!AV18="Sering",3,IF(Responses!AV18="Kadang - Kadang",2,IF(Responses!AV18="Jarang",1,0)))))</f>
        <v>2</v>
      </c>
      <c r="X18" s="8">
        <f>IF(Responses!AW18="","",IF(Responses!AW18="Selalu",4,IF(Responses!AW18="Sering",3,IF(Responses!AW18="Kadang - Kadang",2,IF(Responses!AW18="Jarang",1,0)))))</f>
        <v>0</v>
      </c>
      <c r="Y18" s="20">
        <f t="shared" si="0"/>
        <v>30</v>
      </c>
      <c r="Z18" s="22" t="str">
        <f t="shared" si="1"/>
        <v>Kecanduan Borderline</v>
      </c>
    </row>
    <row r="19" spans="1:26" x14ac:dyDescent="0.3">
      <c r="A19" s="19" t="str">
        <f>Responses!A19</f>
        <v>Kp59768</v>
      </c>
      <c r="B19" s="19" t="str">
        <f>Responses!B19</f>
        <v>b52aGzE</v>
      </c>
      <c r="C19" s="19">
        <f>Responses!C19</f>
        <v>46136.093935185178</v>
      </c>
      <c r="D19" s="19" t="str">
        <f>Responses!D19</f>
        <v>Siti Aisha Fakhira</v>
      </c>
      <c r="E19" s="19" t="str">
        <f>Responses!E19</f>
        <v>XI-1</v>
      </c>
      <c r="F19" s="19">
        <f>Responses!F19</f>
        <v>16</v>
      </c>
      <c r="G19" s="8">
        <f>IF(Responses!AF19="","",IF(Responses!AF19="Selalu",4,IF(Responses!AF19="Sering",3,IF(Responses!AF19="Kadang - Kadang",2,IF(Responses!AF19="Jarang",1,0)))))</f>
        <v>3</v>
      </c>
      <c r="H19" s="8">
        <f>IF(Responses!AG19="","",IF(Responses!AG19="Selalu",4,IF(Responses!AG19="Sering",3,IF(Responses!AG19="Kadang - Kadang",2,IF(Responses!AG19="Jarang",1,0)))))</f>
        <v>3</v>
      </c>
      <c r="I19" s="8">
        <f>IF(Responses!AH19="","",IF(Responses!AH19="Selalu",4,IF(Responses!AH19="Sering",3,IF(Responses!AH19="Kadang - Kadang",2,IF(Responses!AH19="Jarang",1,0)))))</f>
        <v>3</v>
      </c>
      <c r="J19" s="8">
        <f>IF(Responses!AI19="","",IF(Responses!AI19="Selalu",4,IF(Responses!AI19="Sering",3,IF(Responses!AI19="Kadang - Kadang",2,IF(Responses!AI19="Jarang",1,0)))))</f>
        <v>0</v>
      </c>
      <c r="K19" s="8">
        <f>IF(Responses!AJ19="","",IF(Responses!AJ19="Selalu",4,IF(Responses!AJ19="Sering",3,IF(Responses!AJ19="Kadang - Kadang",2,IF(Responses!AJ19="Jarang",1,0)))))</f>
        <v>0</v>
      </c>
      <c r="L19" s="8">
        <f>IF(Responses!AK19="","",IF(Responses!AK19="Selalu",4,IF(Responses!AK19="Sering",3,IF(Responses!AK19="Kadang - Kadang",2,IF(Responses!AK19="Jarang",1,0)))))</f>
        <v>2</v>
      </c>
      <c r="M19" s="8">
        <f>IF(Responses!AL19="","",IF(Responses!AL19="Selalu",4,IF(Responses!AL19="Sering",3,IF(Responses!AL19="Kadang - Kadang",2,IF(Responses!AL19="Jarang",1,0)))))</f>
        <v>0</v>
      </c>
      <c r="N19" s="8">
        <f>IF(Responses!AM19="","",IF(Responses!AM19="Selalu",4,IF(Responses!AM19="Sering",3,IF(Responses!AM19="Kadang - Kadang",2,IF(Responses!AM19="Jarang",1,0)))))</f>
        <v>4</v>
      </c>
      <c r="O19" s="8">
        <f>IF(Responses!AN19="","",IF(Responses!AN19="Selalu",4,IF(Responses!AN19="Sering",3,IF(Responses!AN19="Kadang - Kadang",2,IF(Responses!AN19="Jarang",1,0)))))</f>
        <v>1</v>
      </c>
      <c r="P19" s="8">
        <f>IF(Responses!AO19="","",IF(Responses!AO19="Selalu",4,IF(Responses!AO19="Sering",3,IF(Responses!AO19="Kadang - Kadang",2,IF(Responses!AO19="Jarang",1,0)))))</f>
        <v>2</v>
      </c>
      <c r="Q19" s="8">
        <f>IF(Responses!AP19="","",IF(Responses!AP19="Selalu",4,IF(Responses!AP19="Sering",3,IF(Responses!AP19="Kadang - Kadang",2,IF(Responses!AP19="Jarang",1,0)))))</f>
        <v>4</v>
      </c>
      <c r="R19" s="8">
        <f>IF(Responses!AQ19="","",IF(Responses!AQ19="Selalu",4,IF(Responses!AQ19="Sering",3,IF(Responses!AQ19="Kadang - Kadang",2,IF(Responses!AQ19="Jarang",1,0)))))</f>
        <v>3</v>
      </c>
      <c r="S19" s="8">
        <f>IF(Responses!AR19="","",IF(Responses!AR19="Selalu",4,IF(Responses!AR19="Sering",3,IF(Responses!AR19="Kadang - Kadang",2,IF(Responses!AR19="Jarang",1,0)))))</f>
        <v>3</v>
      </c>
      <c r="T19" s="8">
        <f>IF(Responses!AS19="","",IF(Responses!AS19="Selalu",4,IF(Responses!AS19="Sering",3,IF(Responses!AS19="Kadang - Kadang",2,IF(Responses!AS19="Jarang",1,0)))))</f>
        <v>2</v>
      </c>
      <c r="U19" s="8">
        <f>IF(Responses!AT19="","",IF(Responses!AT19="Selalu",4,IF(Responses!AT19="Sering",3,IF(Responses!AT19="Kadang - Kadang",2,IF(Responses!AT19="Jarang",1,0)))))</f>
        <v>1</v>
      </c>
      <c r="V19" s="8">
        <f>IF(Responses!AU19="","",IF(Responses!AU19="Selalu",4,IF(Responses!AU19="Sering",3,IF(Responses!AU19="Kadang - Kadang",2,IF(Responses!AU19="Jarang",1,0)))))</f>
        <v>2</v>
      </c>
      <c r="W19" s="8">
        <f>IF(Responses!AV19="","",IF(Responses!AV19="Selalu",4,IF(Responses!AV19="Sering",3,IF(Responses!AV19="Kadang - Kadang",2,IF(Responses!AV19="Jarang",1,0)))))</f>
        <v>1</v>
      </c>
      <c r="X19" s="8">
        <f>IF(Responses!AW19="","",IF(Responses!AW19="Selalu",4,IF(Responses!AW19="Sering",3,IF(Responses!AW19="Kadang - Kadang",2,IF(Responses!AW19="Jarang",1,0)))))</f>
        <v>0</v>
      </c>
      <c r="Y19" s="20">
        <f t="shared" si="0"/>
        <v>34</v>
      </c>
      <c r="Z19" s="22" t="str">
        <f t="shared" si="1"/>
        <v>Kecanduan Borderline</v>
      </c>
    </row>
    <row r="20" spans="1:26" x14ac:dyDescent="0.3">
      <c r="A20" s="19" t="str">
        <f>Responses!A20</f>
        <v>7XLQRXA</v>
      </c>
      <c r="B20" s="19" t="str">
        <f>Responses!B20</f>
        <v>Np4z9LN</v>
      </c>
      <c r="C20" s="19">
        <f>Responses!C20</f>
        <v>46136.094317129631</v>
      </c>
      <c r="D20" s="19" t="str">
        <f>Responses!D20</f>
        <v>Quinsha Asyalinna Darmawan</v>
      </c>
      <c r="E20" s="19" t="str">
        <f>Responses!E20</f>
        <v>XI-1</v>
      </c>
      <c r="F20" s="19">
        <f>Responses!F20</f>
        <v>16</v>
      </c>
      <c r="G20" s="8">
        <f>IF(Responses!AF20="","",IF(Responses!AF20="Selalu",4,IF(Responses!AF20="Sering",3,IF(Responses!AF20="Kadang - Kadang",2,IF(Responses!AF20="Jarang",1,0)))))</f>
        <v>4</v>
      </c>
      <c r="H20" s="8">
        <f>IF(Responses!AG20="","",IF(Responses!AG20="Selalu",4,IF(Responses!AG20="Sering",3,IF(Responses!AG20="Kadang - Kadang",2,IF(Responses!AG20="Jarang",1,0)))))</f>
        <v>2</v>
      </c>
      <c r="I20" s="8">
        <f>IF(Responses!AH20="","",IF(Responses!AH20="Selalu",4,IF(Responses!AH20="Sering",3,IF(Responses!AH20="Kadang - Kadang",2,IF(Responses!AH20="Jarang",1,0)))))</f>
        <v>3</v>
      </c>
      <c r="J20" s="8">
        <f>IF(Responses!AI20="","",IF(Responses!AI20="Selalu",4,IF(Responses!AI20="Sering",3,IF(Responses!AI20="Kadang - Kadang",2,IF(Responses!AI20="Jarang",1,0)))))</f>
        <v>1</v>
      </c>
      <c r="K20" s="8">
        <f>IF(Responses!AJ20="","",IF(Responses!AJ20="Selalu",4,IF(Responses!AJ20="Sering",3,IF(Responses!AJ20="Kadang - Kadang",2,IF(Responses!AJ20="Jarang",1,0)))))</f>
        <v>1</v>
      </c>
      <c r="L20" s="8">
        <f>IF(Responses!AK20="","",IF(Responses!AK20="Selalu",4,IF(Responses!AK20="Sering",3,IF(Responses!AK20="Kadang - Kadang",2,IF(Responses!AK20="Jarang",1,0)))))</f>
        <v>0</v>
      </c>
      <c r="M20" s="8">
        <f>IF(Responses!AL20="","",IF(Responses!AL20="Selalu",4,IF(Responses!AL20="Sering",3,IF(Responses!AL20="Kadang - Kadang",2,IF(Responses!AL20="Jarang",1,0)))))</f>
        <v>1</v>
      </c>
      <c r="N20" s="8">
        <f>IF(Responses!AM20="","",IF(Responses!AM20="Selalu",4,IF(Responses!AM20="Sering",3,IF(Responses!AM20="Kadang - Kadang",2,IF(Responses!AM20="Jarang",1,0)))))</f>
        <v>3</v>
      </c>
      <c r="O20" s="8">
        <f>IF(Responses!AN20="","",IF(Responses!AN20="Selalu",4,IF(Responses!AN20="Sering",3,IF(Responses!AN20="Kadang - Kadang",2,IF(Responses!AN20="Jarang",1,0)))))</f>
        <v>2</v>
      </c>
      <c r="P20" s="8">
        <f>IF(Responses!AO20="","",IF(Responses!AO20="Selalu",4,IF(Responses!AO20="Sering",3,IF(Responses!AO20="Kadang - Kadang",2,IF(Responses!AO20="Jarang",1,0)))))</f>
        <v>4</v>
      </c>
      <c r="Q20" s="8">
        <f>IF(Responses!AP20="","",IF(Responses!AP20="Selalu",4,IF(Responses!AP20="Sering",3,IF(Responses!AP20="Kadang - Kadang",2,IF(Responses!AP20="Jarang",1,0)))))</f>
        <v>1</v>
      </c>
      <c r="R20" s="8">
        <f>IF(Responses!AQ20="","",IF(Responses!AQ20="Selalu",4,IF(Responses!AQ20="Sering",3,IF(Responses!AQ20="Kadang - Kadang",2,IF(Responses!AQ20="Jarang",1,0)))))</f>
        <v>3</v>
      </c>
      <c r="S20" s="8">
        <f>IF(Responses!AR20="","",IF(Responses!AR20="Selalu",4,IF(Responses!AR20="Sering",3,IF(Responses!AR20="Kadang - Kadang",2,IF(Responses!AR20="Jarang",1,0)))))</f>
        <v>2</v>
      </c>
      <c r="T20" s="8">
        <f>IF(Responses!AS20="","",IF(Responses!AS20="Selalu",4,IF(Responses!AS20="Sering",3,IF(Responses!AS20="Kadang - Kadang",2,IF(Responses!AS20="Jarang",1,0)))))</f>
        <v>2</v>
      </c>
      <c r="U20" s="8">
        <f>IF(Responses!AT20="","",IF(Responses!AT20="Selalu",4,IF(Responses!AT20="Sering",3,IF(Responses!AT20="Kadang - Kadang",2,IF(Responses!AT20="Jarang",1,0)))))</f>
        <v>3</v>
      </c>
      <c r="V20" s="8">
        <f>IF(Responses!AU20="","",IF(Responses!AU20="Selalu",4,IF(Responses!AU20="Sering",3,IF(Responses!AU20="Kadang - Kadang",2,IF(Responses!AU20="Jarang",1,0)))))</f>
        <v>2</v>
      </c>
      <c r="W20" s="8">
        <f>IF(Responses!AV20="","",IF(Responses!AV20="Selalu",4,IF(Responses!AV20="Sering",3,IF(Responses!AV20="Kadang - Kadang",2,IF(Responses!AV20="Jarang",1,0)))))</f>
        <v>2</v>
      </c>
      <c r="X20" s="8">
        <f>IF(Responses!AW20="","",IF(Responses!AW20="Selalu",4,IF(Responses!AW20="Sering",3,IF(Responses!AW20="Kadang - Kadang",2,IF(Responses!AW20="Jarang",1,0)))))</f>
        <v>1</v>
      </c>
      <c r="Y20" s="20">
        <f t="shared" si="0"/>
        <v>37</v>
      </c>
      <c r="Z20" s="22" t="str">
        <f t="shared" si="1"/>
        <v>Kecanduan Borderline</v>
      </c>
    </row>
    <row r="21" spans="1:26" x14ac:dyDescent="0.3">
      <c r="A21" s="19" t="str">
        <f>Responses!A21</f>
        <v>DqkLqGb</v>
      </c>
      <c r="B21" s="19" t="str">
        <f>Responses!B21</f>
        <v>ja0z4Mx</v>
      </c>
      <c r="C21" s="19">
        <f>Responses!C21</f>
        <v>46136.094687500001</v>
      </c>
      <c r="D21" s="19" t="str">
        <f>Responses!D21</f>
        <v>Shakila Ratnaduhita Nitisari</v>
      </c>
      <c r="E21" s="19" t="str">
        <f>Responses!E21</f>
        <v>XI-1</v>
      </c>
      <c r="F21" s="19">
        <f>Responses!F21</f>
        <v>16</v>
      </c>
      <c r="G21" s="8">
        <f>IF(Responses!AF21="","",IF(Responses!AF21="Selalu",4,IF(Responses!AF21="Sering",3,IF(Responses!AF21="Kadang - Kadang",2,IF(Responses!AF21="Jarang",1,0)))))</f>
        <v>4</v>
      </c>
      <c r="H21" s="8">
        <f>IF(Responses!AG21="","",IF(Responses!AG21="Selalu",4,IF(Responses!AG21="Sering",3,IF(Responses!AG21="Kadang - Kadang",2,IF(Responses!AG21="Jarang",1,0)))))</f>
        <v>0</v>
      </c>
      <c r="I21" s="8">
        <f>IF(Responses!AH21="","",IF(Responses!AH21="Selalu",4,IF(Responses!AH21="Sering",3,IF(Responses!AH21="Kadang - Kadang",2,IF(Responses!AH21="Jarang",1,0)))))</f>
        <v>2</v>
      </c>
      <c r="J21" s="8">
        <f>IF(Responses!AI21="","",IF(Responses!AI21="Selalu",4,IF(Responses!AI21="Sering",3,IF(Responses!AI21="Kadang - Kadang",2,IF(Responses!AI21="Jarang",1,0)))))</f>
        <v>1</v>
      </c>
      <c r="K21" s="8">
        <f>IF(Responses!AJ21="","",IF(Responses!AJ21="Selalu",4,IF(Responses!AJ21="Sering",3,IF(Responses!AJ21="Kadang - Kadang",2,IF(Responses!AJ21="Jarang",1,0)))))</f>
        <v>0</v>
      </c>
      <c r="L21" s="8">
        <f>IF(Responses!AK21="","",IF(Responses!AK21="Selalu",4,IF(Responses!AK21="Sering",3,IF(Responses!AK21="Kadang - Kadang",2,IF(Responses!AK21="Jarang",1,0)))))</f>
        <v>0</v>
      </c>
      <c r="M21" s="8">
        <f>IF(Responses!AL21="","",IF(Responses!AL21="Selalu",4,IF(Responses!AL21="Sering",3,IF(Responses!AL21="Kadang - Kadang",2,IF(Responses!AL21="Jarang",1,0)))))</f>
        <v>2</v>
      </c>
      <c r="N21" s="8">
        <f>IF(Responses!AM21="","",IF(Responses!AM21="Selalu",4,IF(Responses!AM21="Sering",3,IF(Responses!AM21="Kadang - Kadang",2,IF(Responses!AM21="Jarang",1,0)))))</f>
        <v>3</v>
      </c>
      <c r="O21" s="8">
        <f>IF(Responses!AN21="","",IF(Responses!AN21="Selalu",4,IF(Responses!AN21="Sering",3,IF(Responses!AN21="Kadang - Kadang",2,IF(Responses!AN21="Jarang",1,0)))))</f>
        <v>1</v>
      </c>
      <c r="P21" s="8">
        <f>IF(Responses!AO21="","",IF(Responses!AO21="Selalu",4,IF(Responses!AO21="Sering",3,IF(Responses!AO21="Kadang - Kadang",2,IF(Responses!AO21="Jarang",1,0)))))</f>
        <v>1</v>
      </c>
      <c r="Q21" s="8">
        <f>IF(Responses!AP21="","",IF(Responses!AP21="Selalu",4,IF(Responses!AP21="Sering",3,IF(Responses!AP21="Kadang - Kadang",2,IF(Responses!AP21="Jarang",1,0)))))</f>
        <v>0</v>
      </c>
      <c r="R21" s="8">
        <f>IF(Responses!AQ21="","",IF(Responses!AQ21="Selalu",4,IF(Responses!AQ21="Sering",3,IF(Responses!AQ21="Kadang - Kadang",2,IF(Responses!AQ21="Jarang",1,0)))))</f>
        <v>0</v>
      </c>
      <c r="S21" s="8">
        <f>IF(Responses!AR21="","",IF(Responses!AR21="Selalu",4,IF(Responses!AR21="Sering",3,IF(Responses!AR21="Kadang - Kadang",2,IF(Responses!AR21="Jarang",1,0)))))</f>
        <v>2</v>
      </c>
      <c r="T21" s="8">
        <f>IF(Responses!AS21="","",IF(Responses!AS21="Selalu",4,IF(Responses!AS21="Sering",3,IF(Responses!AS21="Kadang - Kadang",2,IF(Responses!AS21="Jarang",1,0)))))</f>
        <v>0</v>
      </c>
      <c r="U21" s="8">
        <f>IF(Responses!AT21="","",IF(Responses!AT21="Selalu",4,IF(Responses!AT21="Sering",3,IF(Responses!AT21="Kadang - Kadang",2,IF(Responses!AT21="Jarang",1,0)))))</f>
        <v>1</v>
      </c>
      <c r="V21" s="8">
        <f>IF(Responses!AU21="","",IF(Responses!AU21="Selalu",4,IF(Responses!AU21="Sering",3,IF(Responses!AU21="Kadang - Kadang",2,IF(Responses!AU21="Jarang",1,0)))))</f>
        <v>0</v>
      </c>
      <c r="W21" s="8">
        <f>IF(Responses!AV21="","",IF(Responses!AV21="Selalu",4,IF(Responses!AV21="Sering",3,IF(Responses!AV21="Kadang - Kadang",2,IF(Responses!AV21="Jarang",1,0)))))</f>
        <v>3</v>
      </c>
      <c r="X21" s="8">
        <f>IF(Responses!AW21="","",IF(Responses!AW21="Selalu",4,IF(Responses!AW21="Sering",3,IF(Responses!AW21="Kadang - Kadang",2,IF(Responses!AW21="Jarang",1,0)))))</f>
        <v>1</v>
      </c>
      <c r="Y21" s="20">
        <f t="shared" si="0"/>
        <v>21</v>
      </c>
      <c r="Z21" s="22" t="str">
        <f t="shared" si="1"/>
        <v>Tidak/Sedikit Kecanduan</v>
      </c>
    </row>
    <row r="22" spans="1:26" x14ac:dyDescent="0.3">
      <c r="A22" s="19" t="str">
        <f>Responses!A22</f>
        <v>Ge9MeAj</v>
      </c>
      <c r="B22" s="19" t="str">
        <f>Responses!B22</f>
        <v>LZE8jZz</v>
      </c>
      <c r="C22" s="19">
        <f>Responses!C22</f>
        <v>46136.094687500001</v>
      </c>
      <c r="D22" s="19" t="str">
        <f>Responses!D22</f>
        <v>Fadilah Mustika Nabilla Umar</v>
      </c>
      <c r="E22" s="19" t="str">
        <f>Responses!E22</f>
        <v>XI-2</v>
      </c>
      <c r="F22" s="19">
        <f>Responses!F22</f>
        <v>17</v>
      </c>
      <c r="G22" s="8">
        <f>IF(Responses!AF22="","",IF(Responses!AF22="Selalu",4,IF(Responses!AF22="Sering",3,IF(Responses!AF22="Kadang - Kadang",2,IF(Responses!AF22="Jarang",1,0)))))</f>
        <v>2</v>
      </c>
      <c r="H22" s="8">
        <f>IF(Responses!AG22="","",IF(Responses!AG22="Selalu",4,IF(Responses!AG22="Sering",3,IF(Responses!AG22="Kadang - Kadang",2,IF(Responses!AG22="Jarang",1,0)))))</f>
        <v>0</v>
      </c>
      <c r="I22" s="8">
        <f>IF(Responses!AH22="","",IF(Responses!AH22="Selalu",4,IF(Responses!AH22="Sering",3,IF(Responses!AH22="Kadang - Kadang",2,IF(Responses!AH22="Jarang",1,0)))))</f>
        <v>2</v>
      </c>
      <c r="J22" s="8">
        <f>IF(Responses!AI22="","",IF(Responses!AI22="Selalu",4,IF(Responses!AI22="Sering",3,IF(Responses!AI22="Kadang - Kadang",2,IF(Responses!AI22="Jarang",1,0)))))</f>
        <v>2</v>
      </c>
      <c r="K22" s="8">
        <f>IF(Responses!AJ22="","",IF(Responses!AJ22="Selalu",4,IF(Responses!AJ22="Sering",3,IF(Responses!AJ22="Kadang - Kadang",2,IF(Responses!AJ22="Jarang",1,0)))))</f>
        <v>0</v>
      </c>
      <c r="L22" s="8">
        <f>IF(Responses!AK22="","",IF(Responses!AK22="Selalu",4,IF(Responses!AK22="Sering",3,IF(Responses!AK22="Kadang - Kadang",2,IF(Responses!AK22="Jarang",1,0)))))</f>
        <v>0</v>
      </c>
      <c r="M22" s="8">
        <f>IF(Responses!AL22="","",IF(Responses!AL22="Selalu",4,IF(Responses!AL22="Sering",3,IF(Responses!AL22="Kadang - Kadang",2,IF(Responses!AL22="Jarang",1,0)))))</f>
        <v>2</v>
      </c>
      <c r="N22" s="8">
        <f>IF(Responses!AM22="","",IF(Responses!AM22="Selalu",4,IF(Responses!AM22="Sering",3,IF(Responses!AM22="Kadang - Kadang",2,IF(Responses!AM22="Jarang",1,0)))))</f>
        <v>2</v>
      </c>
      <c r="O22" s="8">
        <f>IF(Responses!AN22="","",IF(Responses!AN22="Selalu",4,IF(Responses!AN22="Sering",3,IF(Responses!AN22="Kadang - Kadang",2,IF(Responses!AN22="Jarang",1,0)))))</f>
        <v>1</v>
      </c>
      <c r="P22" s="8">
        <f>IF(Responses!AO22="","",IF(Responses!AO22="Selalu",4,IF(Responses!AO22="Sering",3,IF(Responses!AO22="Kadang - Kadang",2,IF(Responses!AO22="Jarang",1,0)))))</f>
        <v>2</v>
      </c>
      <c r="Q22" s="8">
        <f>IF(Responses!AP22="","",IF(Responses!AP22="Selalu",4,IF(Responses!AP22="Sering",3,IF(Responses!AP22="Kadang - Kadang",2,IF(Responses!AP22="Jarang",1,0)))))</f>
        <v>2</v>
      </c>
      <c r="R22" s="8">
        <f>IF(Responses!AQ22="","",IF(Responses!AQ22="Selalu",4,IF(Responses!AQ22="Sering",3,IF(Responses!AQ22="Kadang - Kadang",2,IF(Responses!AQ22="Jarang",1,0)))))</f>
        <v>3</v>
      </c>
      <c r="S22" s="8">
        <f>IF(Responses!AR22="","",IF(Responses!AR22="Selalu",4,IF(Responses!AR22="Sering",3,IF(Responses!AR22="Kadang - Kadang",2,IF(Responses!AR22="Jarang",1,0)))))</f>
        <v>1</v>
      </c>
      <c r="T22" s="8">
        <f>IF(Responses!AS22="","",IF(Responses!AS22="Selalu",4,IF(Responses!AS22="Sering",3,IF(Responses!AS22="Kadang - Kadang",2,IF(Responses!AS22="Jarang",1,0)))))</f>
        <v>1</v>
      </c>
      <c r="U22" s="8">
        <f>IF(Responses!AT22="","",IF(Responses!AT22="Selalu",4,IF(Responses!AT22="Sering",3,IF(Responses!AT22="Kadang - Kadang",2,IF(Responses!AT22="Jarang",1,0)))))</f>
        <v>1</v>
      </c>
      <c r="V22" s="8">
        <f>IF(Responses!AU22="","",IF(Responses!AU22="Selalu",4,IF(Responses!AU22="Sering",3,IF(Responses!AU22="Kadang - Kadang",2,IF(Responses!AU22="Jarang",1,0)))))</f>
        <v>0</v>
      </c>
      <c r="W22" s="8">
        <f>IF(Responses!AV22="","",IF(Responses!AV22="Selalu",4,IF(Responses!AV22="Sering",3,IF(Responses!AV22="Kadang - Kadang",2,IF(Responses!AV22="Jarang",1,0)))))</f>
        <v>1</v>
      </c>
      <c r="X22" s="8">
        <f>IF(Responses!AW22="","",IF(Responses!AW22="Selalu",4,IF(Responses!AW22="Sering",3,IF(Responses!AW22="Kadang - Kadang",2,IF(Responses!AW22="Jarang",1,0)))))</f>
        <v>0</v>
      </c>
      <c r="Y22" s="20">
        <f t="shared" si="0"/>
        <v>22</v>
      </c>
      <c r="Z22" s="22" t="str">
        <f t="shared" si="1"/>
        <v>Tidak/Sedikit Kecanduan</v>
      </c>
    </row>
    <row r="23" spans="1:26" x14ac:dyDescent="0.3">
      <c r="A23" s="19" t="str">
        <f>Responses!A23</f>
        <v>2ja2XbA</v>
      </c>
      <c r="B23" s="19" t="str">
        <f>Responses!B23</f>
        <v>xX0G7gE</v>
      </c>
      <c r="C23" s="19">
        <f>Responses!C23</f>
        <v>46136.094814814824</v>
      </c>
      <c r="D23" s="19" t="str">
        <f>Responses!D23</f>
        <v>Mifta Alifa</v>
      </c>
      <c r="E23" s="19" t="str">
        <f>Responses!E23</f>
        <v>XI-1</v>
      </c>
      <c r="F23" s="19">
        <f>Responses!F23</f>
        <v>17</v>
      </c>
      <c r="G23" s="8">
        <f>IF(Responses!AF23="","",IF(Responses!AF23="Selalu",4,IF(Responses!AF23="Sering",3,IF(Responses!AF23="Kadang - Kadang",2,IF(Responses!AF23="Jarang",1,0)))))</f>
        <v>2</v>
      </c>
      <c r="H23" s="8">
        <f>IF(Responses!AG23="","",IF(Responses!AG23="Selalu",4,IF(Responses!AG23="Sering",3,IF(Responses!AG23="Kadang - Kadang",2,IF(Responses!AG23="Jarang",1,0)))))</f>
        <v>1</v>
      </c>
      <c r="I23" s="8">
        <f>IF(Responses!AH23="","",IF(Responses!AH23="Selalu",4,IF(Responses!AH23="Sering",3,IF(Responses!AH23="Kadang - Kadang",2,IF(Responses!AH23="Jarang",1,0)))))</f>
        <v>1</v>
      </c>
      <c r="J23" s="8">
        <f>IF(Responses!AI23="","",IF(Responses!AI23="Selalu",4,IF(Responses!AI23="Sering",3,IF(Responses!AI23="Kadang - Kadang",2,IF(Responses!AI23="Jarang",1,0)))))</f>
        <v>2</v>
      </c>
      <c r="K23" s="8">
        <f>IF(Responses!AJ23="","",IF(Responses!AJ23="Selalu",4,IF(Responses!AJ23="Sering",3,IF(Responses!AJ23="Kadang - Kadang",2,IF(Responses!AJ23="Jarang",1,0)))))</f>
        <v>3</v>
      </c>
      <c r="L23" s="8">
        <f>IF(Responses!AK23="","",IF(Responses!AK23="Selalu",4,IF(Responses!AK23="Sering",3,IF(Responses!AK23="Kadang - Kadang",2,IF(Responses!AK23="Jarang",1,0)))))</f>
        <v>0</v>
      </c>
      <c r="M23" s="8">
        <f>IF(Responses!AL23="","",IF(Responses!AL23="Selalu",4,IF(Responses!AL23="Sering",3,IF(Responses!AL23="Kadang - Kadang",2,IF(Responses!AL23="Jarang",1,0)))))</f>
        <v>2</v>
      </c>
      <c r="N23" s="8">
        <f>IF(Responses!AM23="","",IF(Responses!AM23="Selalu",4,IF(Responses!AM23="Sering",3,IF(Responses!AM23="Kadang - Kadang",2,IF(Responses!AM23="Jarang",1,0)))))</f>
        <v>1</v>
      </c>
      <c r="O23" s="8">
        <f>IF(Responses!AN23="","",IF(Responses!AN23="Selalu",4,IF(Responses!AN23="Sering",3,IF(Responses!AN23="Kadang - Kadang",2,IF(Responses!AN23="Jarang",1,0)))))</f>
        <v>0</v>
      </c>
      <c r="P23" s="8">
        <f>IF(Responses!AO23="","",IF(Responses!AO23="Selalu",4,IF(Responses!AO23="Sering",3,IF(Responses!AO23="Kadang - Kadang",2,IF(Responses!AO23="Jarang",1,0)))))</f>
        <v>1</v>
      </c>
      <c r="Q23" s="8">
        <f>IF(Responses!AP23="","",IF(Responses!AP23="Selalu",4,IF(Responses!AP23="Sering",3,IF(Responses!AP23="Kadang - Kadang",2,IF(Responses!AP23="Jarang",1,0)))))</f>
        <v>2</v>
      </c>
      <c r="R23" s="8">
        <f>IF(Responses!AQ23="","",IF(Responses!AQ23="Selalu",4,IF(Responses!AQ23="Sering",3,IF(Responses!AQ23="Kadang - Kadang",2,IF(Responses!AQ23="Jarang",1,0)))))</f>
        <v>0</v>
      </c>
      <c r="S23" s="8">
        <f>IF(Responses!AR23="","",IF(Responses!AR23="Selalu",4,IF(Responses!AR23="Sering",3,IF(Responses!AR23="Kadang - Kadang",2,IF(Responses!AR23="Jarang",1,0)))))</f>
        <v>0</v>
      </c>
      <c r="T23" s="8">
        <f>IF(Responses!AS23="","",IF(Responses!AS23="Selalu",4,IF(Responses!AS23="Sering",3,IF(Responses!AS23="Kadang - Kadang",2,IF(Responses!AS23="Jarang",1,0)))))</f>
        <v>0</v>
      </c>
      <c r="U23" s="8">
        <f>IF(Responses!AT23="","",IF(Responses!AT23="Selalu",4,IF(Responses!AT23="Sering",3,IF(Responses!AT23="Kadang - Kadang",2,IF(Responses!AT23="Jarang",1,0)))))</f>
        <v>2</v>
      </c>
      <c r="V23" s="8">
        <f>IF(Responses!AU23="","",IF(Responses!AU23="Selalu",4,IF(Responses!AU23="Sering",3,IF(Responses!AU23="Kadang - Kadang",2,IF(Responses!AU23="Jarang",1,0)))))</f>
        <v>0</v>
      </c>
      <c r="W23" s="8">
        <f>IF(Responses!AV23="","",IF(Responses!AV23="Selalu",4,IF(Responses!AV23="Sering",3,IF(Responses!AV23="Kadang - Kadang",2,IF(Responses!AV23="Jarang",1,0)))))</f>
        <v>0</v>
      </c>
      <c r="X23" s="8">
        <f>IF(Responses!AW23="","",IF(Responses!AW23="Selalu",4,IF(Responses!AW23="Sering",3,IF(Responses!AW23="Kadang - Kadang",2,IF(Responses!AW23="Jarang",1,0)))))</f>
        <v>1</v>
      </c>
      <c r="Y23" s="20">
        <f t="shared" si="0"/>
        <v>18</v>
      </c>
      <c r="Z23" s="22" t="str">
        <f t="shared" si="1"/>
        <v>Tidak/Sedikit Kecanduan</v>
      </c>
    </row>
    <row r="24" spans="1:26" x14ac:dyDescent="0.3">
      <c r="A24" s="19" t="str">
        <f>Responses!A24</f>
        <v>Ar2kzxk</v>
      </c>
      <c r="B24" s="19" t="str">
        <f>Responses!B24</f>
        <v>WOe461Q</v>
      </c>
      <c r="C24" s="19">
        <f>Responses!C24</f>
        <v>46136.09480324074</v>
      </c>
      <c r="D24" s="19" t="str">
        <f>Responses!D24</f>
        <v>KHANSA AURELIA BIAS KAMILA</v>
      </c>
      <c r="E24" s="19" t="str">
        <f>Responses!E24</f>
        <v>XI-1</v>
      </c>
      <c r="F24" s="19">
        <f>Responses!F24</f>
        <v>17</v>
      </c>
      <c r="G24" s="8">
        <f>IF(Responses!AF24="","",IF(Responses!AF24="Selalu",4,IF(Responses!AF24="Sering",3,IF(Responses!AF24="Kadang - Kadang",2,IF(Responses!AF24="Jarang",1,0)))))</f>
        <v>3</v>
      </c>
      <c r="H24" s="8">
        <f>IF(Responses!AG24="","",IF(Responses!AG24="Selalu",4,IF(Responses!AG24="Sering",3,IF(Responses!AG24="Kadang - Kadang",2,IF(Responses!AG24="Jarang",1,0)))))</f>
        <v>1</v>
      </c>
      <c r="I24" s="8">
        <f>IF(Responses!AH24="","",IF(Responses!AH24="Selalu",4,IF(Responses!AH24="Sering",3,IF(Responses!AH24="Kadang - Kadang",2,IF(Responses!AH24="Jarang",1,0)))))</f>
        <v>1</v>
      </c>
      <c r="J24" s="8">
        <f>IF(Responses!AI24="","",IF(Responses!AI24="Selalu",4,IF(Responses!AI24="Sering",3,IF(Responses!AI24="Kadang - Kadang",2,IF(Responses!AI24="Jarang",1,0)))))</f>
        <v>2</v>
      </c>
      <c r="K24" s="8">
        <f>IF(Responses!AJ24="","",IF(Responses!AJ24="Selalu",4,IF(Responses!AJ24="Sering",3,IF(Responses!AJ24="Kadang - Kadang",2,IF(Responses!AJ24="Jarang",1,0)))))</f>
        <v>2</v>
      </c>
      <c r="L24" s="8">
        <f>IF(Responses!AK24="","",IF(Responses!AK24="Selalu",4,IF(Responses!AK24="Sering",3,IF(Responses!AK24="Kadang - Kadang",2,IF(Responses!AK24="Jarang",1,0)))))</f>
        <v>2</v>
      </c>
      <c r="M24" s="8">
        <f>IF(Responses!AL24="","",IF(Responses!AL24="Selalu",4,IF(Responses!AL24="Sering",3,IF(Responses!AL24="Kadang - Kadang",2,IF(Responses!AL24="Jarang",1,0)))))</f>
        <v>4</v>
      </c>
      <c r="N24" s="8">
        <f>IF(Responses!AM24="","",IF(Responses!AM24="Selalu",4,IF(Responses!AM24="Sering",3,IF(Responses!AM24="Kadang - Kadang",2,IF(Responses!AM24="Jarang",1,0)))))</f>
        <v>4</v>
      </c>
      <c r="O24" s="8">
        <f>IF(Responses!AN24="","",IF(Responses!AN24="Selalu",4,IF(Responses!AN24="Sering",3,IF(Responses!AN24="Kadang - Kadang",2,IF(Responses!AN24="Jarang",1,0)))))</f>
        <v>3</v>
      </c>
      <c r="P24" s="8">
        <f>IF(Responses!AO24="","",IF(Responses!AO24="Selalu",4,IF(Responses!AO24="Sering",3,IF(Responses!AO24="Kadang - Kadang",2,IF(Responses!AO24="Jarang",1,0)))))</f>
        <v>1</v>
      </c>
      <c r="Q24" s="8">
        <f>IF(Responses!AP24="","",IF(Responses!AP24="Selalu",4,IF(Responses!AP24="Sering",3,IF(Responses!AP24="Kadang - Kadang",2,IF(Responses!AP24="Jarang",1,0)))))</f>
        <v>2</v>
      </c>
      <c r="R24" s="8">
        <f>IF(Responses!AQ24="","",IF(Responses!AQ24="Selalu",4,IF(Responses!AQ24="Sering",3,IF(Responses!AQ24="Kadang - Kadang",2,IF(Responses!AQ24="Jarang",1,0)))))</f>
        <v>4</v>
      </c>
      <c r="S24" s="8">
        <f>IF(Responses!AR24="","",IF(Responses!AR24="Selalu",4,IF(Responses!AR24="Sering",3,IF(Responses!AR24="Kadang - Kadang",2,IF(Responses!AR24="Jarang",1,0)))))</f>
        <v>4</v>
      </c>
      <c r="T24" s="8">
        <f>IF(Responses!AS24="","",IF(Responses!AS24="Selalu",4,IF(Responses!AS24="Sering",3,IF(Responses!AS24="Kadang - Kadang",2,IF(Responses!AS24="Jarang",1,0)))))</f>
        <v>1</v>
      </c>
      <c r="U24" s="8">
        <f>IF(Responses!AT24="","",IF(Responses!AT24="Selalu",4,IF(Responses!AT24="Sering",3,IF(Responses!AT24="Kadang - Kadang",2,IF(Responses!AT24="Jarang",1,0)))))</f>
        <v>2</v>
      </c>
      <c r="V24" s="8">
        <f>IF(Responses!AU24="","",IF(Responses!AU24="Selalu",4,IF(Responses!AU24="Sering",3,IF(Responses!AU24="Kadang - Kadang",2,IF(Responses!AU24="Jarang",1,0)))))</f>
        <v>3</v>
      </c>
      <c r="W24" s="8">
        <f>IF(Responses!AV24="","",IF(Responses!AV24="Selalu",4,IF(Responses!AV24="Sering",3,IF(Responses!AV24="Kadang - Kadang",2,IF(Responses!AV24="Jarang",1,0)))))</f>
        <v>4</v>
      </c>
      <c r="X24" s="8">
        <f>IF(Responses!AW24="","",IF(Responses!AW24="Selalu",4,IF(Responses!AW24="Sering",3,IF(Responses!AW24="Kadang - Kadang",2,IF(Responses!AW24="Jarang",1,0)))))</f>
        <v>3</v>
      </c>
      <c r="Y24" s="20">
        <f t="shared" si="0"/>
        <v>46</v>
      </c>
      <c r="Z24" s="22" t="str">
        <f t="shared" si="1"/>
        <v>Kemungkinan Kecanduan</v>
      </c>
    </row>
    <row r="25" spans="1:26" x14ac:dyDescent="0.3">
      <c r="A25" s="19" t="str">
        <f>Responses!A25</f>
        <v>Ar2kz0y</v>
      </c>
      <c r="B25" s="19" t="str">
        <f>Responses!B25</f>
        <v>9q6eYjV</v>
      </c>
      <c r="C25" s="19">
        <f>Responses!C25</f>
        <v>46136.094861111109</v>
      </c>
      <c r="D25" s="19" t="str">
        <f>Responses!D25</f>
        <v>Puput Mozza Kirana</v>
      </c>
      <c r="E25" s="19" t="str">
        <f>Responses!E25</f>
        <v>XI-1</v>
      </c>
      <c r="F25" s="19">
        <f>Responses!F25</f>
        <v>17</v>
      </c>
      <c r="G25" s="8">
        <f>IF(Responses!AF25="","",IF(Responses!AF25="Selalu",4,IF(Responses!AF25="Sering",3,IF(Responses!AF25="Kadang - Kadang",2,IF(Responses!AF25="Jarang",1,0)))))</f>
        <v>3</v>
      </c>
      <c r="H25" s="8">
        <f>IF(Responses!AG25="","",IF(Responses!AG25="Selalu",4,IF(Responses!AG25="Sering",3,IF(Responses!AG25="Kadang - Kadang",2,IF(Responses!AG25="Jarang",1,0)))))</f>
        <v>2</v>
      </c>
      <c r="I25" s="8">
        <f>IF(Responses!AH25="","",IF(Responses!AH25="Selalu",4,IF(Responses!AH25="Sering",3,IF(Responses!AH25="Kadang - Kadang",2,IF(Responses!AH25="Jarang",1,0)))))</f>
        <v>2</v>
      </c>
      <c r="J25" s="8">
        <f>IF(Responses!AI25="","",IF(Responses!AI25="Selalu",4,IF(Responses!AI25="Sering",3,IF(Responses!AI25="Kadang - Kadang",2,IF(Responses!AI25="Jarang",1,0)))))</f>
        <v>1</v>
      </c>
      <c r="K25" s="8">
        <f>IF(Responses!AJ25="","",IF(Responses!AJ25="Selalu",4,IF(Responses!AJ25="Sering",3,IF(Responses!AJ25="Kadang - Kadang",2,IF(Responses!AJ25="Jarang",1,0)))))</f>
        <v>1</v>
      </c>
      <c r="L25" s="8">
        <f>IF(Responses!AK25="","",IF(Responses!AK25="Selalu",4,IF(Responses!AK25="Sering",3,IF(Responses!AK25="Kadang - Kadang",2,IF(Responses!AK25="Jarang",1,0)))))</f>
        <v>1</v>
      </c>
      <c r="M25" s="8">
        <f>IF(Responses!AL25="","",IF(Responses!AL25="Selalu",4,IF(Responses!AL25="Sering",3,IF(Responses!AL25="Kadang - Kadang",2,IF(Responses!AL25="Jarang",1,0)))))</f>
        <v>2</v>
      </c>
      <c r="N25" s="8">
        <f>IF(Responses!AM25="","",IF(Responses!AM25="Selalu",4,IF(Responses!AM25="Sering",3,IF(Responses!AM25="Kadang - Kadang",2,IF(Responses!AM25="Jarang",1,0)))))</f>
        <v>3</v>
      </c>
      <c r="O25" s="8">
        <f>IF(Responses!AN25="","",IF(Responses!AN25="Selalu",4,IF(Responses!AN25="Sering",3,IF(Responses!AN25="Kadang - Kadang",2,IF(Responses!AN25="Jarang",1,0)))))</f>
        <v>2</v>
      </c>
      <c r="P25" s="8">
        <f>IF(Responses!AO25="","",IF(Responses!AO25="Selalu",4,IF(Responses!AO25="Sering",3,IF(Responses!AO25="Kadang - Kadang",2,IF(Responses!AO25="Jarang",1,0)))))</f>
        <v>2</v>
      </c>
      <c r="Q25" s="8">
        <f>IF(Responses!AP25="","",IF(Responses!AP25="Selalu",4,IF(Responses!AP25="Sering",3,IF(Responses!AP25="Kadang - Kadang",2,IF(Responses!AP25="Jarang",1,0)))))</f>
        <v>1</v>
      </c>
      <c r="R25" s="8">
        <f>IF(Responses!AQ25="","",IF(Responses!AQ25="Selalu",4,IF(Responses!AQ25="Sering",3,IF(Responses!AQ25="Kadang - Kadang",2,IF(Responses!AQ25="Jarang",1,0)))))</f>
        <v>2</v>
      </c>
      <c r="S25" s="8">
        <f>IF(Responses!AR25="","",IF(Responses!AR25="Selalu",4,IF(Responses!AR25="Sering",3,IF(Responses!AR25="Kadang - Kadang",2,IF(Responses!AR25="Jarang",1,0)))))</f>
        <v>2</v>
      </c>
      <c r="T25" s="8">
        <f>IF(Responses!AS25="","",IF(Responses!AS25="Selalu",4,IF(Responses!AS25="Sering",3,IF(Responses!AS25="Kadang - Kadang",2,IF(Responses!AS25="Jarang",1,0)))))</f>
        <v>2</v>
      </c>
      <c r="U25" s="8">
        <f>IF(Responses!AT25="","",IF(Responses!AT25="Selalu",4,IF(Responses!AT25="Sering",3,IF(Responses!AT25="Kadang - Kadang",2,IF(Responses!AT25="Jarang",1,0)))))</f>
        <v>1</v>
      </c>
      <c r="V25" s="8">
        <f>IF(Responses!AU25="","",IF(Responses!AU25="Selalu",4,IF(Responses!AU25="Sering",3,IF(Responses!AU25="Kadang - Kadang",2,IF(Responses!AU25="Jarang",1,0)))))</f>
        <v>2</v>
      </c>
      <c r="W25" s="8">
        <f>IF(Responses!AV25="","",IF(Responses!AV25="Selalu",4,IF(Responses!AV25="Sering",3,IF(Responses!AV25="Kadang - Kadang",2,IF(Responses!AV25="Jarang",1,0)))))</f>
        <v>1</v>
      </c>
      <c r="X25" s="8">
        <f>IF(Responses!AW25="","",IF(Responses!AW25="Selalu",4,IF(Responses!AW25="Sering",3,IF(Responses!AW25="Kadang - Kadang",2,IF(Responses!AW25="Jarang",1,0)))))</f>
        <v>2</v>
      </c>
      <c r="Y25" s="20">
        <f t="shared" si="0"/>
        <v>32</v>
      </c>
      <c r="Z25" s="22" t="str">
        <f t="shared" si="1"/>
        <v>Kecanduan Borderline</v>
      </c>
    </row>
    <row r="26" spans="1:26" x14ac:dyDescent="0.3">
      <c r="A26" s="19" t="str">
        <f>Responses!A26</f>
        <v>peygd6y</v>
      </c>
      <c r="B26" s="19" t="str">
        <f>Responses!B26</f>
        <v>VL9r7ej</v>
      </c>
      <c r="C26" s="19">
        <f>Responses!C26</f>
        <v>46136.095081018517</v>
      </c>
      <c r="D26" s="19" t="str">
        <f>Responses!D26</f>
        <v xml:space="preserve">Keyza </v>
      </c>
      <c r="E26" s="19" t="str">
        <f>Responses!E26</f>
        <v>XI-1</v>
      </c>
      <c r="F26" s="19">
        <f>Responses!F26</f>
        <v>17</v>
      </c>
      <c r="G26" s="8">
        <f>IF(Responses!AF26="","",IF(Responses!AF26="Selalu",4,IF(Responses!AF26="Sering",3,IF(Responses!AF26="Kadang - Kadang",2,IF(Responses!AF26="Jarang",1,0)))))</f>
        <v>2</v>
      </c>
      <c r="H26" s="8">
        <f>IF(Responses!AG26="","",IF(Responses!AG26="Selalu",4,IF(Responses!AG26="Sering",3,IF(Responses!AG26="Kadang - Kadang",2,IF(Responses!AG26="Jarang",1,0)))))</f>
        <v>2</v>
      </c>
      <c r="I26" s="8">
        <f>IF(Responses!AH26="","",IF(Responses!AH26="Selalu",4,IF(Responses!AH26="Sering",3,IF(Responses!AH26="Kadang - Kadang",2,IF(Responses!AH26="Jarang",1,0)))))</f>
        <v>3</v>
      </c>
      <c r="J26" s="8">
        <f>IF(Responses!AI26="","",IF(Responses!AI26="Selalu",4,IF(Responses!AI26="Sering",3,IF(Responses!AI26="Kadang - Kadang",2,IF(Responses!AI26="Jarang",1,0)))))</f>
        <v>3</v>
      </c>
      <c r="K26" s="8">
        <f>IF(Responses!AJ26="","",IF(Responses!AJ26="Selalu",4,IF(Responses!AJ26="Sering",3,IF(Responses!AJ26="Kadang - Kadang",2,IF(Responses!AJ26="Jarang",1,0)))))</f>
        <v>0</v>
      </c>
      <c r="L26" s="8">
        <f>IF(Responses!AK26="","",IF(Responses!AK26="Selalu",4,IF(Responses!AK26="Sering",3,IF(Responses!AK26="Kadang - Kadang",2,IF(Responses!AK26="Jarang",1,0)))))</f>
        <v>2</v>
      </c>
      <c r="M26" s="8">
        <f>IF(Responses!AL26="","",IF(Responses!AL26="Selalu",4,IF(Responses!AL26="Sering",3,IF(Responses!AL26="Kadang - Kadang",2,IF(Responses!AL26="Jarang",1,0)))))</f>
        <v>2</v>
      </c>
      <c r="N26" s="8">
        <f>IF(Responses!AM26="","",IF(Responses!AM26="Selalu",4,IF(Responses!AM26="Sering",3,IF(Responses!AM26="Kadang - Kadang",2,IF(Responses!AM26="Jarang",1,0)))))</f>
        <v>4</v>
      </c>
      <c r="O26" s="8">
        <f>IF(Responses!AN26="","",IF(Responses!AN26="Selalu",4,IF(Responses!AN26="Sering",3,IF(Responses!AN26="Kadang - Kadang",2,IF(Responses!AN26="Jarang",1,0)))))</f>
        <v>0</v>
      </c>
      <c r="P26" s="8">
        <f>IF(Responses!AO26="","",IF(Responses!AO26="Selalu",4,IF(Responses!AO26="Sering",3,IF(Responses!AO26="Kadang - Kadang",2,IF(Responses!AO26="Jarang",1,0)))))</f>
        <v>4</v>
      </c>
      <c r="Q26" s="8">
        <f>IF(Responses!AP26="","",IF(Responses!AP26="Selalu",4,IF(Responses!AP26="Sering",3,IF(Responses!AP26="Kadang - Kadang",2,IF(Responses!AP26="Jarang",1,0)))))</f>
        <v>0</v>
      </c>
      <c r="R26" s="8">
        <f>IF(Responses!AQ26="","",IF(Responses!AQ26="Selalu",4,IF(Responses!AQ26="Sering",3,IF(Responses!AQ26="Kadang - Kadang",2,IF(Responses!AQ26="Jarang",1,0)))))</f>
        <v>1</v>
      </c>
      <c r="S26" s="8">
        <f>IF(Responses!AR26="","",IF(Responses!AR26="Selalu",4,IF(Responses!AR26="Sering",3,IF(Responses!AR26="Kadang - Kadang",2,IF(Responses!AR26="Jarang",1,0)))))</f>
        <v>2</v>
      </c>
      <c r="T26" s="8">
        <f>IF(Responses!AS26="","",IF(Responses!AS26="Selalu",4,IF(Responses!AS26="Sering",3,IF(Responses!AS26="Kadang - Kadang",2,IF(Responses!AS26="Jarang",1,0)))))</f>
        <v>2</v>
      </c>
      <c r="U26" s="8">
        <f>IF(Responses!AT26="","",IF(Responses!AT26="Selalu",4,IF(Responses!AT26="Sering",3,IF(Responses!AT26="Kadang - Kadang",2,IF(Responses!AT26="Jarang",1,0)))))</f>
        <v>1</v>
      </c>
      <c r="V26" s="8">
        <f>IF(Responses!AU26="","",IF(Responses!AU26="Selalu",4,IF(Responses!AU26="Sering",3,IF(Responses!AU26="Kadang - Kadang",2,IF(Responses!AU26="Jarang",1,0)))))</f>
        <v>1</v>
      </c>
      <c r="W26" s="8">
        <f>IF(Responses!AV26="","",IF(Responses!AV26="Selalu",4,IF(Responses!AV26="Sering",3,IF(Responses!AV26="Kadang - Kadang",2,IF(Responses!AV26="Jarang",1,0)))))</f>
        <v>1</v>
      </c>
      <c r="X26" s="8">
        <f>IF(Responses!AW26="","",IF(Responses!AW26="Selalu",4,IF(Responses!AW26="Sering",3,IF(Responses!AW26="Kadang - Kadang",2,IF(Responses!AW26="Jarang",1,0)))))</f>
        <v>2</v>
      </c>
      <c r="Y26" s="20">
        <f t="shared" si="0"/>
        <v>32</v>
      </c>
      <c r="Z26" s="22" t="str">
        <f t="shared" si="1"/>
        <v>Kecanduan Borderline</v>
      </c>
    </row>
    <row r="27" spans="1:26" x14ac:dyDescent="0.3">
      <c r="A27" s="19" t="str">
        <f>Responses!A27</f>
        <v>aO5We7B</v>
      </c>
      <c r="B27" s="19" t="str">
        <f>Responses!B27</f>
        <v>7RJQ7qA</v>
      </c>
      <c r="C27" s="19">
        <f>Responses!C27</f>
        <v>46136.095138888893</v>
      </c>
      <c r="D27" s="19" t="str">
        <f>Responses!D27</f>
        <v>Syifa Rasendriya Hakim</v>
      </c>
      <c r="E27" s="19" t="str">
        <f>Responses!E27</f>
        <v>XI-1</v>
      </c>
      <c r="F27" s="19">
        <f>Responses!F27</f>
        <v>16</v>
      </c>
      <c r="G27" s="8">
        <f>IF(Responses!AF27="","",IF(Responses!AF27="Selalu",4,IF(Responses!AF27="Sering",3,IF(Responses!AF27="Kadang - Kadang",2,IF(Responses!AF27="Jarang",1,0)))))</f>
        <v>0</v>
      </c>
      <c r="H27" s="8">
        <f>IF(Responses!AG27="","",IF(Responses!AG27="Selalu",4,IF(Responses!AG27="Sering",3,IF(Responses!AG27="Kadang - Kadang",2,IF(Responses!AG27="Jarang",1,0)))))</f>
        <v>0</v>
      </c>
      <c r="I27" s="8">
        <f>IF(Responses!AH27="","",IF(Responses!AH27="Selalu",4,IF(Responses!AH27="Sering",3,IF(Responses!AH27="Kadang - Kadang",2,IF(Responses!AH27="Jarang",1,0)))))</f>
        <v>0</v>
      </c>
      <c r="J27" s="8">
        <f>IF(Responses!AI27="","",IF(Responses!AI27="Selalu",4,IF(Responses!AI27="Sering",3,IF(Responses!AI27="Kadang - Kadang",2,IF(Responses!AI27="Jarang",1,0)))))</f>
        <v>0</v>
      </c>
      <c r="K27" s="8">
        <f>IF(Responses!AJ27="","",IF(Responses!AJ27="Selalu",4,IF(Responses!AJ27="Sering",3,IF(Responses!AJ27="Kadang - Kadang",2,IF(Responses!AJ27="Jarang",1,0)))))</f>
        <v>0</v>
      </c>
      <c r="L27" s="8">
        <f>IF(Responses!AK27="","",IF(Responses!AK27="Selalu",4,IF(Responses!AK27="Sering",3,IF(Responses!AK27="Kadang - Kadang",2,IF(Responses!AK27="Jarang",1,0)))))</f>
        <v>0</v>
      </c>
      <c r="M27" s="8">
        <f>IF(Responses!AL27="","",IF(Responses!AL27="Selalu",4,IF(Responses!AL27="Sering",3,IF(Responses!AL27="Kadang - Kadang",2,IF(Responses!AL27="Jarang",1,0)))))</f>
        <v>0</v>
      </c>
      <c r="N27" s="8">
        <f>IF(Responses!AM27="","",IF(Responses!AM27="Selalu",4,IF(Responses!AM27="Sering",3,IF(Responses!AM27="Kadang - Kadang",2,IF(Responses!AM27="Jarang",1,0)))))</f>
        <v>0</v>
      </c>
      <c r="O27" s="8">
        <f>IF(Responses!AN27="","",IF(Responses!AN27="Selalu",4,IF(Responses!AN27="Sering",3,IF(Responses!AN27="Kadang - Kadang",2,IF(Responses!AN27="Jarang",1,0)))))</f>
        <v>0</v>
      </c>
      <c r="P27" s="8">
        <f>IF(Responses!AO27="","",IF(Responses!AO27="Selalu",4,IF(Responses!AO27="Sering",3,IF(Responses!AO27="Kadang - Kadang",2,IF(Responses!AO27="Jarang",1,0)))))</f>
        <v>1</v>
      </c>
      <c r="Q27" s="8">
        <f>IF(Responses!AP27="","",IF(Responses!AP27="Selalu",4,IF(Responses!AP27="Sering",3,IF(Responses!AP27="Kadang - Kadang",2,IF(Responses!AP27="Jarang",1,0)))))</f>
        <v>2</v>
      </c>
      <c r="R27" s="8">
        <f>IF(Responses!AQ27="","",IF(Responses!AQ27="Selalu",4,IF(Responses!AQ27="Sering",3,IF(Responses!AQ27="Kadang - Kadang",2,IF(Responses!AQ27="Jarang",1,0)))))</f>
        <v>1</v>
      </c>
      <c r="S27" s="8">
        <f>IF(Responses!AR27="","",IF(Responses!AR27="Selalu",4,IF(Responses!AR27="Sering",3,IF(Responses!AR27="Kadang - Kadang",2,IF(Responses!AR27="Jarang",1,0)))))</f>
        <v>0</v>
      </c>
      <c r="T27" s="8">
        <f>IF(Responses!AS27="","",IF(Responses!AS27="Selalu",4,IF(Responses!AS27="Sering",3,IF(Responses!AS27="Kadang - Kadang",2,IF(Responses!AS27="Jarang",1,0)))))</f>
        <v>0</v>
      </c>
      <c r="U27" s="8">
        <f>IF(Responses!AT27="","",IF(Responses!AT27="Selalu",4,IF(Responses!AT27="Sering",3,IF(Responses!AT27="Kadang - Kadang",2,IF(Responses!AT27="Jarang",1,0)))))</f>
        <v>1</v>
      </c>
      <c r="V27" s="8">
        <f>IF(Responses!AU27="","",IF(Responses!AU27="Selalu",4,IF(Responses!AU27="Sering",3,IF(Responses!AU27="Kadang - Kadang",2,IF(Responses!AU27="Jarang",1,0)))))</f>
        <v>1</v>
      </c>
      <c r="W27" s="8">
        <f>IF(Responses!AV27="","",IF(Responses!AV27="Selalu",4,IF(Responses!AV27="Sering",3,IF(Responses!AV27="Kadang - Kadang",2,IF(Responses!AV27="Jarang",1,0)))))</f>
        <v>0</v>
      </c>
      <c r="X27" s="8">
        <f>IF(Responses!AW27="","",IF(Responses!AW27="Selalu",4,IF(Responses!AW27="Sering",3,IF(Responses!AW27="Kadang - Kadang",2,IF(Responses!AW27="Jarang",1,0)))))</f>
        <v>1</v>
      </c>
      <c r="Y27" s="20">
        <f t="shared" si="0"/>
        <v>7</v>
      </c>
      <c r="Z27" s="22" t="str">
        <f t="shared" si="1"/>
        <v>Tidak/Sedikit Kecanduan</v>
      </c>
    </row>
    <row r="28" spans="1:26" x14ac:dyDescent="0.3">
      <c r="A28" s="19" t="str">
        <f>Responses!A28</f>
        <v>1Wdj424</v>
      </c>
      <c r="B28" s="19" t="str">
        <f>Responses!B28</f>
        <v>QKxGlO1</v>
      </c>
      <c r="C28" s="19">
        <f>Responses!C28</f>
        <v>46136.095439814817</v>
      </c>
      <c r="D28" s="19" t="str">
        <f>Responses!D28</f>
        <v>Azahra Nabila Revandya</v>
      </c>
      <c r="E28" s="19" t="str">
        <f>Responses!E28</f>
        <v>XI-1</v>
      </c>
      <c r="F28" s="19">
        <f>Responses!F28</f>
        <v>16</v>
      </c>
      <c r="G28" s="8">
        <f>IF(Responses!AF28="","",IF(Responses!AF28="Selalu",4,IF(Responses!AF28="Sering",3,IF(Responses!AF28="Kadang - Kadang",2,IF(Responses!AF28="Jarang",1,0)))))</f>
        <v>2</v>
      </c>
      <c r="H28" s="8">
        <f>IF(Responses!AG28="","",IF(Responses!AG28="Selalu",4,IF(Responses!AG28="Sering",3,IF(Responses!AG28="Kadang - Kadang",2,IF(Responses!AG28="Jarang",1,0)))))</f>
        <v>2</v>
      </c>
      <c r="I28" s="8">
        <f>IF(Responses!AH28="","",IF(Responses!AH28="Selalu",4,IF(Responses!AH28="Sering",3,IF(Responses!AH28="Kadang - Kadang",2,IF(Responses!AH28="Jarang",1,0)))))</f>
        <v>2</v>
      </c>
      <c r="J28" s="8">
        <f>IF(Responses!AI28="","",IF(Responses!AI28="Selalu",4,IF(Responses!AI28="Sering",3,IF(Responses!AI28="Kadang - Kadang",2,IF(Responses!AI28="Jarang",1,0)))))</f>
        <v>2</v>
      </c>
      <c r="K28" s="8">
        <f>IF(Responses!AJ28="","",IF(Responses!AJ28="Selalu",4,IF(Responses!AJ28="Sering",3,IF(Responses!AJ28="Kadang - Kadang",2,IF(Responses!AJ28="Jarang",1,0)))))</f>
        <v>2</v>
      </c>
      <c r="L28" s="8">
        <f>IF(Responses!AK28="","",IF(Responses!AK28="Selalu",4,IF(Responses!AK28="Sering",3,IF(Responses!AK28="Kadang - Kadang",2,IF(Responses!AK28="Jarang",1,0)))))</f>
        <v>0</v>
      </c>
      <c r="M28" s="8">
        <f>IF(Responses!AL28="","",IF(Responses!AL28="Selalu",4,IF(Responses!AL28="Sering",3,IF(Responses!AL28="Kadang - Kadang",2,IF(Responses!AL28="Jarang",1,0)))))</f>
        <v>1</v>
      </c>
      <c r="N28" s="8">
        <f>IF(Responses!AM28="","",IF(Responses!AM28="Selalu",4,IF(Responses!AM28="Sering",3,IF(Responses!AM28="Kadang - Kadang",2,IF(Responses!AM28="Jarang",1,0)))))</f>
        <v>2</v>
      </c>
      <c r="O28" s="8">
        <f>IF(Responses!AN28="","",IF(Responses!AN28="Selalu",4,IF(Responses!AN28="Sering",3,IF(Responses!AN28="Kadang - Kadang",2,IF(Responses!AN28="Jarang",1,0)))))</f>
        <v>1</v>
      </c>
      <c r="P28" s="8">
        <f>IF(Responses!AO28="","",IF(Responses!AO28="Selalu",4,IF(Responses!AO28="Sering",3,IF(Responses!AO28="Kadang - Kadang",2,IF(Responses!AO28="Jarang",1,0)))))</f>
        <v>2</v>
      </c>
      <c r="Q28" s="8">
        <f>IF(Responses!AP28="","",IF(Responses!AP28="Selalu",4,IF(Responses!AP28="Sering",3,IF(Responses!AP28="Kadang - Kadang",2,IF(Responses!AP28="Jarang",1,0)))))</f>
        <v>0</v>
      </c>
      <c r="R28" s="8">
        <f>IF(Responses!AQ28="","",IF(Responses!AQ28="Selalu",4,IF(Responses!AQ28="Sering",3,IF(Responses!AQ28="Kadang - Kadang",2,IF(Responses!AQ28="Jarang",1,0)))))</f>
        <v>0</v>
      </c>
      <c r="S28" s="8">
        <f>IF(Responses!AR28="","",IF(Responses!AR28="Selalu",4,IF(Responses!AR28="Sering",3,IF(Responses!AR28="Kadang - Kadang",2,IF(Responses!AR28="Jarang",1,0)))))</f>
        <v>1</v>
      </c>
      <c r="T28" s="8">
        <f>IF(Responses!AS28="","",IF(Responses!AS28="Selalu",4,IF(Responses!AS28="Sering",3,IF(Responses!AS28="Kadang - Kadang",2,IF(Responses!AS28="Jarang",1,0)))))</f>
        <v>0</v>
      </c>
      <c r="U28" s="8">
        <f>IF(Responses!AT28="","",IF(Responses!AT28="Selalu",4,IF(Responses!AT28="Sering",3,IF(Responses!AT28="Kadang - Kadang",2,IF(Responses!AT28="Jarang",1,0)))))</f>
        <v>1</v>
      </c>
      <c r="V28" s="8">
        <f>IF(Responses!AU28="","",IF(Responses!AU28="Selalu",4,IF(Responses!AU28="Sering",3,IF(Responses!AU28="Kadang - Kadang",2,IF(Responses!AU28="Jarang",1,0)))))</f>
        <v>0</v>
      </c>
      <c r="W28" s="8">
        <f>IF(Responses!AV28="","",IF(Responses!AV28="Selalu",4,IF(Responses!AV28="Sering",3,IF(Responses!AV28="Kadang - Kadang",2,IF(Responses!AV28="Jarang",1,0)))))</f>
        <v>0</v>
      </c>
      <c r="X28" s="8">
        <f>IF(Responses!AW28="","",IF(Responses!AW28="Selalu",4,IF(Responses!AW28="Sering",3,IF(Responses!AW28="Kadang - Kadang",2,IF(Responses!AW28="Jarang",1,0)))))</f>
        <v>0</v>
      </c>
      <c r="Y28" s="20">
        <f t="shared" si="0"/>
        <v>18</v>
      </c>
      <c r="Z28" s="22" t="str">
        <f t="shared" si="1"/>
        <v>Tidak/Sedikit Kecanduan</v>
      </c>
    </row>
    <row r="29" spans="1:26" x14ac:dyDescent="0.3">
      <c r="A29" s="19" t="str">
        <f>Responses!A29</f>
        <v>je6KlbJ</v>
      </c>
      <c r="B29" s="19" t="str">
        <f>Responses!B29</f>
        <v>2Eb26P9</v>
      </c>
      <c r="C29" s="19">
        <f>Responses!C29</f>
        <v>46136.095590277779</v>
      </c>
      <c r="D29" s="19" t="str">
        <f>Responses!D29</f>
        <v xml:space="preserve">Adra Alditya </v>
      </c>
      <c r="E29" s="19" t="str">
        <f>Responses!E29</f>
        <v>XI-1</v>
      </c>
      <c r="F29" s="19">
        <f>Responses!F29</f>
        <v>17</v>
      </c>
      <c r="G29" s="8">
        <f>IF(Responses!AF29="","",IF(Responses!AF29="Selalu",4,IF(Responses!AF29="Sering",3,IF(Responses!AF29="Kadang - Kadang",2,IF(Responses!AF29="Jarang",1,0)))))</f>
        <v>2</v>
      </c>
      <c r="H29" s="8">
        <f>IF(Responses!AG29="","",IF(Responses!AG29="Selalu",4,IF(Responses!AG29="Sering",3,IF(Responses!AG29="Kadang - Kadang",2,IF(Responses!AG29="Jarang",1,0)))))</f>
        <v>1</v>
      </c>
      <c r="I29" s="8">
        <f>IF(Responses!AH29="","",IF(Responses!AH29="Selalu",4,IF(Responses!AH29="Sering",3,IF(Responses!AH29="Kadang - Kadang",2,IF(Responses!AH29="Jarang",1,0)))))</f>
        <v>2</v>
      </c>
      <c r="J29" s="8">
        <f>IF(Responses!AI29="","",IF(Responses!AI29="Selalu",4,IF(Responses!AI29="Sering",3,IF(Responses!AI29="Kadang - Kadang",2,IF(Responses!AI29="Jarang",1,0)))))</f>
        <v>0</v>
      </c>
      <c r="K29" s="8">
        <f>IF(Responses!AJ29="","",IF(Responses!AJ29="Selalu",4,IF(Responses!AJ29="Sering",3,IF(Responses!AJ29="Kadang - Kadang",2,IF(Responses!AJ29="Jarang",1,0)))))</f>
        <v>1</v>
      </c>
      <c r="L29" s="8">
        <f>IF(Responses!AK29="","",IF(Responses!AK29="Selalu",4,IF(Responses!AK29="Sering",3,IF(Responses!AK29="Kadang - Kadang",2,IF(Responses!AK29="Jarang",1,0)))))</f>
        <v>0</v>
      </c>
      <c r="M29" s="8">
        <f>IF(Responses!AL29="","",IF(Responses!AL29="Selalu",4,IF(Responses!AL29="Sering",3,IF(Responses!AL29="Kadang - Kadang",2,IF(Responses!AL29="Jarang",1,0)))))</f>
        <v>1</v>
      </c>
      <c r="N29" s="8">
        <f>IF(Responses!AM29="","",IF(Responses!AM29="Selalu",4,IF(Responses!AM29="Sering",3,IF(Responses!AM29="Kadang - Kadang",2,IF(Responses!AM29="Jarang",1,0)))))</f>
        <v>0</v>
      </c>
      <c r="O29" s="8">
        <f>IF(Responses!AN29="","",IF(Responses!AN29="Selalu",4,IF(Responses!AN29="Sering",3,IF(Responses!AN29="Kadang - Kadang",2,IF(Responses!AN29="Jarang",1,0)))))</f>
        <v>0</v>
      </c>
      <c r="P29" s="8">
        <f>IF(Responses!AO29="","",IF(Responses!AO29="Selalu",4,IF(Responses!AO29="Sering",3,IF(Responses!AO29="Kadang - Kadang",2,IF(Responses!AO29="Jarang",1,0)))))</f>
        <v>0</v>
      </c>
      <c r="Q29" s="8">
        <f>IF(Responses!AP29="","",IF(Responses!AP29="Selalu",4,IF(Responses!AP29="Sering",3,IF(Responses!AP29="Kadang - Kadang",2,IF(Responses!AP29="Jarang",1,0)))))</f>
        <v>0</v>
      </c>
      <c r="R29" s="8">
        <f>IF(Responses!AQ29="","",IF(Responses!AQ29="Selalu",4,IF(Responses!AQ29="Sering",3,IF(Responses!AQ29="Kadang - Kadang",2,IF(Responses!AQ29="Jarang",1,0)))))</f>
        <v>2</v>
      </c>
      <c r="S29" s="8">
        <f>IF(Responses!AR29="","",IF(Responses!AR29="Selalu",4,IF(Responses!AR29="Sering",3,IF(Responses!AR29="Kadang - Kadang",2,IF(Responses!AR29="Jarang",1,0)))))</f>
        <v>2</v>
      </c>
      <c r="T29" s="8">
        <f>IF(Responses!AS29="","",IF(Responses!AS29="Selalu",4,IF(Responses!AS29="Sering",3,IF(Responses!AS29="Kadang - Kadang",2,IF(Responses!AS29="Jarang",1,0)))))</f>
        <v>2</v>
      </c>
      <c r="U29" s="8">
        <f>IF(Responses!AT29="","",IF(Responses!AT29="Selalu",4,IF(Responses!AT29="Sering",3,IF(Responses!AT29="Kadang - Kadang",2,IF(Responses!AT29="Jarang",1,0)))))</f>
        <v>2</v>
      </c>
      <c r="V29" s="8">
        <f>IF(Responses!AU29="","",IF(Responses!AU29="Selalu",4,IF(Responses!AU29="Sering",3,IF(Responses!AU29="Kadang - Kadang",2,IF(Responses!AU29="Jarang",1,0)))))</f>
        <v>1</v>
      </c>
      <c r="W29" s="8">
        <f>IF(Responses!AV29="","",IF(Responses!AV29="Selalu",4,IF(Responses!AV29="Sering",3,IF(Responses!AV29="Kadang - Kadang",2,IF(Responses!AV29="Jarang",1,0)))))</f>
        <v>3</v>
      </c>
      <c r="X29" s="8">
        <f>IF(Responses!AW29="","",IF(Responses!AW29="Selalu",4,IF(Responses!AW29="Sering",3,IF(Responses!AW29="Kadang - Kadang",2,IF(Responses!AW29="Jarang",1,0)))))</f>
        <v>1</v>
      </c>
      <c r="Y29" s="20">
        <f t="shared" si="0"/>
        <v>20</v>
      </c>
      <c r="Z29" s="22" t="str">
        <f t="shared" si="1"/>
        <v>Tidak/Sedikit Kecanduan</v>
      </c>
    </row>
    <row r="30" spans="1:26" x14ac:dyDescent="0.3">
      <c r="A30" s="19" t="str">
        <f>Responses!A30</f>
        <v>laep6xW</v>
      </c>
      <c r="B30" s="19" t="str">
        <f>Responses!B30</f>
        <v>eqNbXkO</v>
      </c>
      <c r="C30" s="19">
        <f>Responses!C30</f>
        <v>46136.095752314817</v>
      </c>
      <c r="D30" s="19" t="str">
        <f>Responses!D30</f>
        <v>Ghina Aulia Rahma</v>
      </c>
      <c r="E30" s="19" t="str">
        <f>Responses!E30</f>
        <v>XI-1</v>
      </c>
      <c r="F30" s="19">
        <f>Responses!F30</f>
        <v>17</v>
      </c>
      <c r="G30" s="8">
        <f>IF(Responses!AF30="","",IF(Responses!AF30="Selalu",4,IF(Responses!AF30="Sering",3,IF(Responses!AF30="Kadang - Kadang",2,IF(Responses!AF30="Jarang",1,0)))))</f>
        <v>3</v>
      </c>
      <c r="H30" s="8">
        <f>IF(Responses!AG30="","",IF(Responses!AG30="Selalu",4,IF(Responses!AG30="Sering",3,IF(Responses!AG30="Kadang - Kadang",2,IF(Responses!AG30="Jarang",1,0)))))</f>
        <v>2</v>
      </c>
      <c r="I30" s="8">
        <f>IF(Responses!AH30="","",IF(Responses!AH30="Selalu",4,IF(Responses!AH30="Sering",3,IF(Responses!AH30="Kadang - Kadang",2,IF(Responses!AH30="Jarang",1,0)))))</f>
        <v>4</v>
      </c>
      <c r="J30" s="8">
        <f>IF(Responses!AI30="","",IF(Responses!AI30="Selalu",4,IF(Responses!AI30="Sering",3,IF(Responses!AI30="Kadang - Kadang",2,IF(Responses!AI30="Jarang",1,0)))))</f>
        <v>1</v>
      </c>
      <c r="K30" s="8">
        <f>IF(Responses!AJ30="","",IF(Responses!AJ30="Selalu",4,IF(Responses!AJ30="Sering",3,IF(Responses!AJ30="Kadang - Kadang",2,IF(Responses!AJ30="Jarang",1,0)))))</f>
        <v>0</v>
      </c>
      <c r="L30" s="8">
        <f>IF(Responses!AK30="","",IF(Responses!AK30="Selalu",4,IF(Responses!AK30="Sering",3,IF(Responses!AK30="Kadang - Kadang",2,IF(Responses!AK30="Jarang",1,0)))))</f>
        <v>3</v>
      </c>
      <c r="M30" s="8">
        <f>IF(Responses!AL30="","",IF(Responses!AL30="Selalu",4,IF(Responses!AL30="Sering",3,IF(Responses!AL30="Kadang - Kadang",2,IF(Responses!AL30="Jarang",1,0)))))</f>
        <v>3</v>
      </c>
      <c r="N30" s="8">
        <f>IF(Responses!AM30="","",IF(Responses!AM30="Selalu",4,IF(Responses!AM30="Sering",3,IF(Responses!AM30="Kadang - Kadang",2,IF(Responses!AM30="Jarang",1,0)))))</f>
        <v>4</v>
      </c>
      <c r="O30" s="8">
        <f>IF(Responses!AN30="","",IF(Responses!AN30="Selalu",4,IF(Responses!AN30="Sering",3,IF(Responses!AN30="Kadang - Kadang",2,IF(Responses!AN30="Jarang",1,0)))))</f>
        <v>0</v>
      </c>
      <c r="P30" s="8">
        <f>IF(Responses!AO30="","",IF(Responses!AO30="Selalu",4,IF(Responses!AO30="Sering",3,IF(Responses!AO30="Kadang - Kadang",2,IF(Responses!AO30="Jarang",1,0)))))</f>
        <v>1</v>
      </c>
      <c r="Q30" s="8">
        <f>IF(Responses!AP30="","",IF(Responses!AP30="Selalu",4,IF(Responses!AP30="Sering",3,IF(Responses!AP30="Kadang - Kadang",2,IF(Responses!AP30="Jarang",1,0)))))</f>
        <v>0</v>
      </c>
      <c r="R30" s="8">
        <f>IF(Responses!AQ30="","",IF(Responses!AQ30="Selalu",4,IF(Responses!AQ30="Sering",3,IF(Responses!AQ30="Kadang - Kadang",2,IF(Responses!AQ30="Jarang",1,0)))))</f>
        <v>2</v>
      </c>
      <c r="S30" s="8">
        <f>IF(Responses!AR30="","",IF(Responses!AR30="Selalu",4,IF(Responses!AR30="Sering",3,IF(Responses!AR30="Kadang - Kadang",2,IF(Responses!AR30="Jarang",1,0)))))</f>
        <v>3</v>
      </c>
      <c r="T30" s="8">
        <f>IF(Responses!AS30="","",IF(Responses!AS30="Selalu",4,IF(Responses!AS30="Sering",3,IF(Responses!AS30="Kadang - Kadang",2,IF(Responses!AS30="Jarang",1,0)))))</f>
        <v>1</v>
      </c>
      <c r="U30" s="8">
        <f>IF(Responses!AT30="","",IF(Responses!AT30="Selalu",4,IF(Responses!AT30="Sering",3,IF(Responses!AT30="Kadang - Kadang",2,IF(Responses!AT30="Jarang",1,0)))))</f>
        <v>3</v>
      </c>
      <c r="V30" s="8">
        <f>IF(Responses!AU30="","",IF(Responses!AU30="Selalu",4,IF(Responses!AU30="Sering",3,IF(Responses!AU30="Kadang - Kadang",2,IF(Responses!AU30="Jarang",1,0)))))</f>
        <v>1</v>
      </c>
      <c r="W30" s="8">
        <f>IF(Responses!AV30="","",IF(Responses!AV30="Selalu",4,IF(Responses!AV30="Sering",3,IF(Responses!AV30="Kadang - Kadang",2,IF(Responses!AV30="Jarang",1,0)))))</f>
        <v>2</v>
      </c>
      <c r="X30" s="8">
        <f>IF(Responses!AW30="","",IF(Responses!AW30="Selalu",4,IF(Responses!AW30="Sering",3,IF(Responses!AW30="Kadang - Kadang",2,IF(Responses!AW30="Jarang",1,0)))))</f>
        <v>0</v>
      </c>
      <c r="Y30" s="20">
        <f t="shared" si="0"/>
        <v>33</v>
      </c>
      <c r="Z30" s="22" t="str">
        <f t="shared" si="1"/>
        <v>Kecanduan Borderline</v>
      </c>
    </row>
    <row r="31" spans="1:26" ht="24" customHeight="1" x14ac:dyDescent="0.3">
      <c r="A31" s="19" t="str">
        <f>Responses!A31</f>
        <v>BEdvkX4</v>
      </c>
      <c r="B31" s="19" t="str">
        <f>Responses!B31</f>
        <v>9q6e8dK</v>
      </c>
      <c r="C31" s="19">
        <f>Responses!C31</f>
        <v>46136.096041666657</v>
      </c>
      <c r="D31" s="19" t="str">
        <f>Responses!D31</f>
        <v xml:space="preserve">Siti Nur Fittri Astuti </v>
      </c>
      <c r="E31" s="19" t="str">
        <f>Responses!E31</f>
        <v>XI-1</v>
      </c>
      <c r="F31" s="19">
        <f>Responses!F31</f>
        <v>17</v>
      </c>
      <c r="G31" s="8">
        <f>IF(Responses!AF31="","",IF(Responses!AF31="Selalu",4,IF(Responses!AF31="Sering",3,IF(Responses!AF31="Kadang - Kadang",2,IF(Responses!AF31="Jarang",1,0)))))</f>
        <v>3</v>
      </c>
      <c r="H31" s="8">
        <f>IF(Responses!AG31="","",IF(Responses!AG31="Selalu",4,IF(Responses!AG31="Sering",3,IF(Responses!AG31="Kadang - Kadang",2,IF(Responses!AG31="Jarang",1,0)))))</f>
        <v>2</v>
      </c>
      <c r="I31" s="8">
        <f>IF(Responses!AH31="","",IF(Responses!AH31="Selalu",4,IF(Responses!AH31="Sering",3,IF(Responses!AH31="Kadang - Kadang",2,IF(Responses!AH31="Jarang",1,0)))))</f>
        <v>2</v>
      </c>
      <c r="J31" s="8">
        <f>IF(Responses!AI31="","",IF(Responses!AI31="Selalu",4,IF(Responses!AI31="Sering",3,IF(Responses!AI31="Kadang - Kadang",2,IF(Responses!AI31="Jarang",1,0)))))</f>
        <v>2</v>
      </c>
      <c r="K31" s="8">
        <f>IF(Responses!AJ31="","",IF(Responses!AJ31="Selalu",4,IF(Responses!AJ31="Sering",3,IF(Responses!AJ31="Kadang - Kadang",2,IF(Responses!AJ31="Jarang",1,0)))))</f>
        <v>4</v>
      </c>
      <c r="L31" s="8">
        <f>IF(Responses!AK31="","",IF(Responses!AK31="Selalu",4,IF(Responses!AK31="Sering",3,IF(Responses!AK31="Kadang - Kadang",2,IF(Responses!AK31="Jarang",1,0)))))</f>
        <v>3</v>
      </c>
      <c r="M31" s="8">
        <f>IF(Responses!AL31="","",IF(Responses!AL31="Selalu",4,IF(Responses!AL31="Sering",3,IF(Responses!AL31="Kadang - Kadang",2,IF(Responses!AL31="Jarang",1,0)))))</f>
        <v>2</v>
      </c>
      <c r="N31" s="8">
        <f>IF(Responses!AM31="","",IF(Responses!AM31="Selalu",4,IF(Responses!AM31="Sering",3,IF(Responses!AM31="Kadang - Kadang",2,IF(Responses!AM31="Jarang",1,0)))))</f>
        <v>0</v>
      </c>
      <c r="O31" s="8">
        <f>IF(Responses!AN31="","",IF(Responses!AN31="Selalu",4,IF(Responses!AN31="Sering",3,IF(Responses!AN31="Kadang - Kadang",2,IF(Responses!AN31="Jarang",1,0)))))</f>
        <v>3</v>
      </c>
      <c r="P31" s="8">
        <f>IF(Responses!AO31="","",IF(Responses!AO31="Selalu",4,IF(Responses!AO31="Sering",3,IF(Responses!AO31="Kadang - Kadang",2,IF(Responses!AO31="Jarang",1,0)))))</f>
        <v>4</v>
      </c>
      <c r="Q31" s="8">
        <f>IF(Responses!AP31="","",IF(Responses!AP31="Selalu",4,IF(Responses!AP31="Sering",3,IF(Responses!AP31="Kadang - Kadang",2,IF(Responses!AP31="Jarang",1,0)))))</f>
        <v>3</v>
      </c>
      <c r="R31" s="8">
        <f>IF(Responses!AQ31="","",IF(Responses!AQ31="Selalu",4,IF(Responses!AQ31="Sering",3,IF(Responses!AQ31="Kadang - Kadang",2,IF(Responses!AQ31="Jarang",1,0)))))</f>
        <v>0</v>
      </c>
      <c r="S31" s="8">
        <f>IF(Responses!AR31="","",IF(Responses!AR31="Selalu",4,IF(Responses!AR31="Sering",3,IF(Responses!AR31="Kadang - Kadang",2,IF(Responses!AR31="Jarang",1,0)))))</f>
        <v>3</v>
      </c>
      <c r="T31" s="8">
        <f>IF(Responses!AS31="","",IF(Responses!AS31="Selalu",4,IF(Responses!AS31="Sering",3,IF(Responses!AS31="Kadang - Kadang",2,IF(Responses!AS31="Jarang",1,0)))))</f>
        <v>2</v>
      </c>
      <c r="U31" s="8">
        <f>IF(Responses!AT31="","",IF(Responses!AT31="Selalu",4,IF(Responses!AT31="Sering",3,IF(Responses!AT31="Kadang - Kadang",2,IF(Responses!AT31="Jarang",1,0)))))</f>
        <v>3</v>
      </c>
      <c r="V31" s="8">
        <f>IF(Responses!AU31="","",IF(Responses!AU31="Selalu",4,IF(Responses!AU31="Sering",3,IF(Responses!AU31="Kadang - Kadang",2,IF(Responses!AU31="Jarang",1,0)))))</f>
        <v>1</v>
      </c>
      <c r="W31" s="8">
        <f>IF(Responses!AV31="","",IF(Responses!AV31="Selalu",4,IF(Responses!AV31="Sering",3,IF(Responses!AV31="Kadang - Kadang",2,IF(Responses!AV31="Jarang",1,0)))))</f>
        <v>1</v>
      </c>
      <c r="X31" s="8">
        <f>IF(Responses!AW31="","",IF(Responses!AW31="Selalu",4,IF(Responses!AW31="Sering",3,IF(Responses!AW31="Kadang - Kadang",2,IF(Responses!AW31="Jarang",1,0)))))</f>
        <v>2</v>
      </c>
      <c r="Y31" s="20">
        <f t="shared" si="0"/>
        <v>40</v>
      </c>
      <c r="Z31" s="22" t="str">
        <f t="shared" si="1"/>
        <v>Kemungkinan Kecanduan</v>
      </c>
    </row>
    <row r="32" spans="1:26" ht="24" customHeight="1" x14ac:dyDescent="0.3">
      <c r="A32" s="19" t="str">
        <f>Responses!A32</f>
        <v>o9eJMg1</v>
      </c>
      <c r="B32" s="19" t="str">
        <f>Responses!B32</f>
        <v>yP0OBk4</v>
      </c>
      <c r="C32" s="19">
        <f>Responses!C32</f>
        <v>46136.096122685187</v>
      </c>
      <c r="D32" s="19" t="str">
        <f>Responses!D32</f>
        <v>Allena Shafira Putri Novelita</v>
      </c>
      <c r="E32" s="19" t="str">
        <f>Responses!E32</f>
        <v>XI-1</v>
      </c>
      <c r="F32" s="19">
        <f>Responses!F32</f>
        <v>17</v>
      </c>
      <c r="G32" s="8">
        <f>IF(Responses!AF32="","",IF(Responses!AF32="Selalu",4,IF(Responses!AF32="Sering",3,IF(Responses!AF32="Kadang - Kadang",2,IF(Responses!AF32="Jarang",1,0)))))</f>
        <v>1</v>
      </c>
      <c r="H32" s="8">
        <f>IF(Responses!AG32="","",IF(Responses!AG32="Selalu",4,IF(Responses!AG32="Sering",3,IF(Responses!AG32="Kadang - Kadang",2,IF(Responses!AG32="Jarang",1,0)))))</f>
        <v>2</v>
      </c>
      <c r="I32" s="8">
        <f>IF(Responses!AH32="","",IF(Responses!AH32="Selalu",4,IF(Responses!AH32="Sering",3,IF(Responses!AH32="Kadang - Kadang",2,IF(Responses!AH32="Jarang",1,0)))))</f>
        <v>1</v>
      </c>
      <c r="J32" s="8">
        <f>IF(Responses!AI32="","",IF(Responses!AI32="Selalu",4,IF(Responses!AI32="Sering",3,IF(Responses!AI32="Kadang - Kadang",2,IF(Responses!AI32="Jarang",1,0)))))</f>
        <v>0</v>
      </c>
      <c r="K32" s="8">
        <f>IF(Responses!AJ32="","",IF(Responses!AJ32="Selalu",4,IF(Responses!AJ32="Sering",3,IF(Responses!AJ32="Kadang - Kadang",2,IF(Responses!AJ32="Jarang",1,0)))))</f>
        <v>4</v>
      </c>
      <c r="L32" s="8">
        <f>IF(Responses!AK32="","",IF(Responses!AK32="Selalu",4,IF(Responses!AK32="Sering",3,IF(Responses!AK32="Kadang - Kadang",2,IF(Responses!AK32="Jarang",1,0)))))</f>
        <v>0</v>
      </c>
      <c r="M32" s="8">
        <f>IF(Responses!AL32="","",IF(Responses!AL32="Selalu",4,IF(Responses!AL32="Sering",3,IF(Responses!AL32="Kadang - Kadang",2,IF(Responses!AL32="Jarang",1,0)))))</f>
        <v>1</v>
      </c>
      <c r="N32" s="8">
        <f>IF(Responses!AM32="","",IF(Responses!AM32="Selalu",4,IF(Responses!AM32="Sering",3,IF(Responses!AM32="Kadang - Kadang",2,IF(Responses!AM32="Jarang",1,0)))))</f>
        <v>1</v>
      </c>
      <c r="O32" s="8">
        <f>IF(Responses!AN32="","",IF(Responses!AN32="Selalu",4,IF(Responses!AN32="Sering",3,IF(Responses!AN32="Kadang - Kadang",2,IF(Responses!AN32="Jarang",1,0)))))</f>
        <v>1</v>
      </c>
      <c r="P32" s="8">
        <f>IF(Responses!AO32="","",IF(Responses!AO32="Selalu",4,IF(Responses!AO32="Sering",3,IF(Responses!AO32="Kadang - Kadang",2,IF(Responses!AO32="Jarang",1,0)))))</f>
        <v>0</v>
      </c>
      <c r="Q32" s="8">
        <f>IF(Responses!AP32="","",IF(Responses!AP32="Selalu",4,IF(Responses!AP32="Sering",3,IF(Responses!AP32="Kadang - Kadang",2,IF(Responses!AP32="Jarang",1,0)))))</f>
        <v>0</v>
      </c>
      <c r="R32" s="8">
        <f>IF(Responses!AQ32="","",IF(Responses!AQ32="Selalu",4,IF(Responses!AQ32="Sering",3,IF(Responses!AQ32="Kadang - Kadang",2,IF(Responses!AQ32="Jarang",1,0)))))</f>
        <v>0</v>
      </c>
      <c r="S32" s="8">
        <f>IF(Responses!AR32="","",IF(Responses!AR32="Selalu",4,IF(Responses!AR32="Sering",3,IF(Responses!AR32="Kadang - Kadang",2,IF(Responses!AR32="Jarang",1,0)))))</f>
        <v>2</v>
      </c>
      <c r="T32" s="8">
        <f>IF(Responses!AS32="","",IF(Responses!AS32="Selalu",4,IF(Responses!AS32="Sering",3,IF(Responses!AS32="Kadang - Kadang",2,IF(Responses!AS32="Jarang",1,0)))))</f>
        <v>0</v>
      </c>
      <c r="U32" s="8">
        <f>IF(Responses!AT32="","",IF(Responses!AT32="Selalu",4,IF(Responses!AT32="Sering",3,IF(Responses!AT32="Kadang - Kadang",2,IF(Responses!AT32="Jarang",1,0)))))</f>
        <v>2</v>
      </c>
      <c r="V32" s="8">
        <f>IF(Responses!AU32="","",IF(Responses!AU32="Selalu",4,IF(Responses!AU32="Sering",3,IF(Responses!AU32="Kadang - Kadang",2,IF(Responses!AU32="Jarang",1,0)))))</f>
        <v>0</v>
      </c>
      <c r="W32" s="8">
        <f>IF(Responses!AV32="","",IF(Responses!AV32="Selalu",4,IF(Responses!AV32="Sering",3,IF(Responses!AV32="Kadang - Kadang",2,IF(Responses!AV32="Jarang",1,0)))))</f>
        <v>2</v>
      </c>
      <c r="X32" s="8">
        <f>IF(Responses!AW32="","",IF(Responses!AW32="Selalu",4,IF(Responses!AW32="Sering",3,IF(Responses!AW32="Kadang - Kadang",2,IF(Responses!AW32="Jarang",1,0)))))</f>
        <v>1</v>
      </c>
      <c r="Y32" s="20">
        <f t="shared" si="0"/>
        <v>18</v>
      </c>
      <c r="Z32" s="22" t="str">
        <f t="shared" si="1"/>
        <v>Tidak/Sedikit Kecanduan</v>
      </c>
    </row>
    <row r="33" spans="1:26" ht="24" customHeight="1" x14ac:dyDescent="0.3">
      <c r="A33" s="19" t="str">
        <f>Responses!A33</f>
        <v>kbeLyWd</v>
      </c>
      <c r="B33" s="19" t="str">
        <f>Responses!B33</f>
        <v>b52aarE</v>
      </c>
      <c r="C33" s="19">
        <f>Responses!C33</f>
        <v>46136.096273148149</v>
      </c>
      <c r="D33" s="19" t="str">
        <f>Responses!D33</f>
        <v xml:space="preserve">Nismara Zhafira Sahasika </v>
      </c>
      <c r="E33" s="19" t="str">
        <f>Responses!E33</f>
        <v>XI-1</v>
      </c>
      <c r="F33" s="19">
        <f>Responses!F33</f>
        <v>17</v>
      </c>
      <c r="G33" s="8">
        <f>IF(Responses!AF33="","",IF(Responses!AF33="Selalu",4,IF(Responses!AF33="Sering",3,IF(Responses!AF33="Kadang - Kadang",2,IF(Responses!AF33="Jarang",1,0)))))</f>
        <v>2</v>
      </c>
      <c r="H33" s="8">
        <f>IF(Responses!AG33="","",IF(Responses!AG33="Selalu",4,IF(Responses!AG33="Sering",3,IF(Responses!AG33="Kadang - Kadang",2,IF(Responses!AG33="Jarang",1,0)))))</f>
        <v>3</v>
      </c>
      <c r="I33" s="8">
        <f>IF(Responses!AH33="","",IF(Responses!AH33="Selalu",4,IF(Responses!AH33="Sering",3,IF(Responses!AH33="Kadang - Kadang",2,IF(Responses!AH33="Jarang",1,0)))))</f>
        <v>2</v>
      </c>
      <c r="J33" s="8">
        <f>IF(Responses!AI33="","",IF(Responses!AI33="Selalu",4,IF(Responses!AI33="Sering",3,IF(Responses!AI33="Kadang - Kadang",2,IF(Responses!AI33="Jarang",1,0)))))</f>
        <v>1</v>
      </c>
      <c r="K33" s="8">
        <f>IF(Responses!AJ33="","",IF(Responses!AJ33="Selalu",4,IF(Responses!AJ33="Sering",3,IF(Responses!AJ33="Kadang - Kadang",2,IF(Responses!AJ33="Jarang",1,0)))))</f>
        <v>1</v>
      </c>
      <c r="L33" s="8">
        <f>IF(Responses!AK33="","",IF(Responses!AK33="Selalu",4,IF(Responses!AK33="Sering",3,IF(Responses!AK33="Kadang - Kadang",2,IF(Responses!AK33="Jarang",1,0)))))</f>
        <v>1</v>
      </c>
      <c r="M33" s="8">
        <f>IF(Responses!AL33="","",IF(Responses!AL33="Selalu",4,IF(Responses!AL33="Sering",3,IF(Responses!AL33="Kadang - Kadang",2,IF(Responses!AL33="Jarang",1,0)))))</f>
        <v>2</v>
      </c>
      <c r="N33" s="8">
        <f>IF(Responses!AM33="","",IF(Responses!AM33="Selalu",4,IF(Responses!AM33="Sering",3,IF(Responses!AM33="Kadang - Kadang",2,IF(Responses!AM33="Jarang",1,0)))))</f>
        <v>3</v>
      </c>
      <c r="O33" s="8">
        <f>IF(Responses!AN33="","",IF(Responses!AN33="Selalu",4,IF(Responses!AN33="Sering",3,IF(Responses!AN33="Kadang - Kadang",2,IF(Responses!AN33="Jarang",1,0)))))</f>
        <v>3</v>
      </c>
      <c r="P33" s="8">
        <f>IF(Responses!AO33="","",IF(Responses!AO33="Selalu",4,IF(Responses!AO33="Sering",3,IF(Responses!AO33="Kadang - Kadang",2,IF(Responses!AO33="Jarang",1,0)))))</f>
        <v>4</v>
      </c>
      <c r="Q33" s="8">
        <f>IF(Responses!AP33="","",IF(Responses!AP33="Selalu",4,IF(Responses!AP33="Sering",3,IF(Responses!AP33="Kadang - Kadang",2,IF(Responses!AP33="Jarang",1,0)))))</f>
        <v>3</v>
      </c>
      <c r="R33" s="8">
        <f>IF(Responses!AQ33="","",IF(Responses!AQ33="Selalu",4,IF(Responses!AQ33="Sering",3,IF(Responses!AQ33="Kadang - Kadang",2,IF(Responses!AQ33="Jarang",1,0)))))</f>
        <v>3</v>
      </c>
      <c r="S33" s="8">
        <f>IF(Responses!AR33="","",IF(Responses!AR33="Selalu",4,IF(Responses!AR33="Sering",3,IF(Responses!AR33="Kadang - Kadang",2,IF(Responses!AR33="Jarang",1,0)))))</f>
        <v>3</v>
      </c>
      <c r="T33" s="8">
        <f>IF(Responses!AS33="","",IF(Responses!AS33="Selalu",4,IF(Responses!AS33="Sering",3,IF(Responses!AS33="Kadang - Kadang",2,IF(Responses!AS33="Jarang",1,0)))))</f>
        <v>3</v>
      </c>
      <c r="U33" s="8">
        <f>IF(Responses!AT33="","",IF(Responses!AT33="Selalu",4,IF(Responses!AT33="Sering",3,IF(Responses!AT33="Kadang - Kadang",2,IF(Responses!AT33="Jarang",1,0)))))</f>
        <v>2</v>
      </c>
      <c r="V33" s="8">
        <f>IF(Responses!AU33="","",IF(Responses!AU33="Selalu",4,IF(Responses!AU33="Sering",3,IF(Responses!AU33="Kadang - Kadang",2,IF(Responses!AU33="Jarang",1,0)))))</f>
        <v>2</v>
      </c>
      <c r="W33" s="8">
        <f>IF(Responses!AV33="","",IF(Responses!AV33="Selalu",4,IF(Responses!AV33="Sering",3,IF(Responses!AV33="Kadang - Kadang",2,IF(Responses!AV33="Jarang",1,0)))))</f>
        <v>2</v>
      </c>
      <c r="X33" s="8">
        <f>IF(Responses!AW33="","",IF(Responses!AW33="Selalu",4,IF(Responses!AW33="Sering",3,IF(Responses!AW33="Kadang - Kadang",2,IF(Responses!AW33="Jarang",1,0)))))</f>
        <v>2</v>
      </c>
      <c r="Y33" s="20">
        <f t="shared" si="0"/>
        <v>42</v>
      </c>
      <c r="Z33" s="22" t="str">
        <f t="shared" si="1"/>
        <v>Kemungkinan Kecanduan</v>
      </c>
    </row>
    <row r="34" spans="1:26" ht="24" customHeight="1" x14ac:dyDescent="0.3">
      <c r="A34" s="19" t="str">
        <f>Responses!A34</f>
        <v>Ar2kld0</v>
      </c>
      <c r="B34" s="19" t="str">
        <f>Responses!B34</f>
        <v>eqNb46e</v>
      </c>
      <c r="C34" s="19">
        <f>Responses!C34</f>
        <v>46136.096458333333</v>
      </c>
      <c r="D34" s="19" t="str">
        <f>Responses!D34</f>
        <v>Fico Evan Evorius G</v>
      </c>
      <c r="E34" s="19" t="str">
        <f>Responses!E34</f>
        <v>XI-2</v>
      </c>
      <c r="F34" s="19">
        <f>Responses!F34</f>
        <v>17</v>
      </c>
      <c r="G34" s="8">
        <f>IF(Responses!AF34="","",IF(Responses!AF34="Selalu",4,IF(Responses!AF34="Sering",3,IF(Responses!AF34="Kadang - Kadang",2,IF(Responses!AF34="Jarang",1,0)))))</f>
        <v>1</v>
      </c>
      <c r="H34" s="8">
        <f>IF(Responses!AG34="","",IF(Responses!AG34="Selalu",4,IF(Responses!AG34="Sering",3,IF(Responses!AG34="Kadang - Kadang",2,IF(Responses!AG34="Jarang",1,0)))))</f>
        <v>2</v>
      </c>
      <c r="I34" s="8">
        <f>IF(Responses!AH34="","",IF(Responses!AH34="Selalu",4,IF(Responses!AH34="Sering",3,IF(Responses!AH34="Kadang - Kadang",2,IF(Responses!AH34="Jarang",1,0)))))</f>
        <v>1</v>
      </c>
      <c r="J34" s="8">
        <f>IF(Responses!AI34="","",IF(Responses!AI34="Selalu",4,IF(Responses!AI34="Sering",3,IF(Responses!AI34="Kadang - Kadang",2,IF(Responses!AI34="Jarang",1,0)))))</f>
        <v>0</v>
      </c>
      <c r="K34" s="8">
        <f>IF(Responses!AJ34="","",IF(Responses!AJ34="Selalu",4,IF(Responses!AJ34="Sering",3,IF(Responses!AJ34="Kadang - Kadang",2,IF(Responses!AJ34="Jarang",1,0)))))</f>
        <v>1</v>
      </c>
      <c r="L34" s="8">
        <f>IF(Responses!AK34="","",IF(Responses!AK34="Selalu",4,IF(Responses!AK34="Sering",3,IF(Responses!AK34="Kadang - Kadang",2,IF(Responses!AK34="Jarang",1,0)))))</f>
        <v>0</v>
      </c>
      <c r="M34" s="8">
        <f>IF(Responses!AL34="","",IF(Responses!AL34="Selalu",4,IF(Responses!AL34="Sering",3,IF(Responses!AL34="Kadang - Kadang",2,IF(Responses!AL34="Jarang",1,0)))))</f>
        <v>0</v>
      </c>
      <c r="N34" s="8">
        <f>IF(Responses!AM34="","",IF(Responses!AM34="Selalu",4,IF(Responses!AM34="Sering",3,IF(Responses!AM34="Kadang - Kadang",2,IF(Responses!AM34="Jarang",1,0)))))</f>
        <v>0</v>
      </c>
      <c r="O34" s="8">
        <f>IF(Responses!AN34="","",IF(Responses!AN34="Selalu",4,IF(Responses!AN34="Sering",3,IF(Responses!AN34="Kadang - Kadang",2,IF(Responses!AN34="Jarang",1,0)))))</f>
        <v>2</v>
      </c>
      <c r="P34" s="8">
        <f>IF(Responses!AO34="","",IF(Responses!AO34="Selalu",4,IF(Responses!AO34="Sering",3,IF(Responses!AO34="Kadang - Kadang",2,IF(Responses!AO34="Jarang",1,0)))))</f>
        <v>0</v>
      </c>
      <c r="Q34" s="8">
        <f>IF(Responses!AP34="","",IF(Responses!AP34="Selalu",4,IF(Responses!AP34="Sering",3,IF(Responses!AP34="Kadang - Kadang",2,IF(Responses!AP34="Jarang",1,0)))))</f>
        <v>2</v>
      </c>
      <c r="R34" s="8">
        <f>IF(Responses!AQ34="","",IF(Responses!AQ34="Selalu",4,IF(Responses!AQ34="Sering",3,IF(Responses!AQ34="Kadang - Kadang",2,IF(Responses!AQ34="Jarang",1,0)))))</f>
        <v>0</v>
      </c>
      <c r="S34" s="8">
        <f>IF(Responses!AR34="","",IF(Responses!AR34="Selalu",4,IF(Responses!AR34="Sering",3,IF(Responses!AR34="Kadang - Kadang",2,IF(Responses!AR34="Jarang",1,0)))))</f>
        <v>1</v>
      </c>
      <c r="T34" s="8">
        <f>IF(Responses!AS34="","",IF(Responses!AS34="Selalu",4,IF(Responses!AS34="Sering",3,IF(Responses!AS34="Kadang - Kadang",2,IF(Responses!AS34="Jarang",1,0)))))</f>
        <v>1</v>
      </c>
      <c r="U34" s="8">
        <f>IF(Responses!AT34="","",IF(Responses!AT34="Selalu",4,IF(Responses!AT34="Sering",3,IF(Responses!AT34="Kadang - Kadang",2,IF(Responses!AT34="Jarang",1,0)))))</f>
        <v>0</v>
      </c>
      <c r="V34" s="8">
        <f>IF(Responses!AU34="","",IF(Responses!AU34="Selalu",4,IF(Responses!AU34="Sering",3,IF(Responses!AU34="Kadang - Kadang",2,IF(Responses!AU34="Jarang",1,0)))))</f>
        <v>2</v>
      </c>
      <c r="W34" s="8">
        <f>IF(Responses!AV34="","",IF(Responses!AV34="Selalu",4,IF(Responses!AV34="Sering",3,IF(Responses!AV34="Kadang - Kadang",2,IF(Responses!AV34="Jarang",1,0)))))</f>
        <v>2</v>
      </c>
      <c r="X34" s="8">
        <f>IF(Responses!AW34="","",IF(Responses!AW34="Selalu",4,IF(Responses!AW34="Sering",3,IF(Responses!AW34="Kadang - Kadang",2,IF(Responses!AW34="Jarang",1,0)))))</f>
        <v>0</v>
      </c>
      <c r="Y34" s="20">
        <f t="shared" ref="Y34:Y65" si="2">IF(A34="","",G34+H34+I34+J34+K34+L34+M34+N34+O34+P34+Q34+R34+S34+T34+U34+V34+W34+X34)</f>
        <v>15</v>
      </c>
      <c r="Z34" s="22" t="str">
        <f t="shared" ref="Z34:Z65" si="3">IF(A34="","",IF(Y34&lt;30,"Tidak/Sedikit Kecanduan",IF(Y34&lt;=39,"Kecanduan Borderline",IF(Y34&lt;=59,"Kemungkinan Kecanduan","Kecanduan Signifikan"))))</f>
        <v>Tidak/Sedikit Kecanduan</v>
      </c>
    </row>
    <row r="35" spans="1:26" ht="24" customHeight="1" x14ac:dyDescent="0.3">
      <c r="A35" s="19" t="str">
        <f>Responses!A35</f>
        <v>yX2Oxqd</v>
      </c>
      <c r="B35" s="19" t="str">
        <f>Responses!B35</f>
        <v>Y5o2Ed6</v>
      </c>
      <c r="C35" s="19">
        <f>Responses!C35</f>
        <v>46136.097129629627</v>
      </c>
      <c r="D35" s="19" t="str">
        <f>Responses!D35</f>
        <v xml:space="preserve">Aqila Dewi Pangesti </v>
      </c>
      <c r="E35" s="19" t="str">
        <f>Responses!E35</f>
        <v>XI-2</v>
      </c>
      <c r="F35" s="19">
        <f>Responses!F35</f>
        <v>17</v>
      </c>
      <c r="G35" s="8">
        <f>IF(Responses!AF35="","",IF(Responses!AF35="Selalu",4,IF(Responses!AF35="Sering",3,IF(Responses!AF35="Kadang - Kadang",2,IF(Responses!AF35="Jarang",1,0)))))</f>
        <v>1</v>
      </c>
      <c r="H35" s="8">
        <f>IF(Responses!AG35="","",IF(Responses!AG35="Selalu",4,IF(Responses!AG35="Sering",3,IF(Responses!AG35="Kadang - Kadang",2,IF(Responses!AG35="Jarang",1,0)))))</f>
        <v>3</v>
      </c>
      <c r="I35" s="8">
        <f>IF(Responses!AH35="","",IF(Responses!AH35="Selalu",4,IF(Responses!AH35="Sering",3,IF(Responses!AH35="Kadang - Kadang",2,IF(Responses!AH35="Jarang",1,0)))))</f>
        <v>1</v>
      </c>
      <c r="J35" s="8">
        <f>IF(Responses!AI35="","",IF(Responses!AI35="Selalu",4,IF(Responses!AI35="Sering",3,IF(Responses!AI35="Kadang - Kadang",2,IF(Responses!AI35="Jarang",1,0)))))</f>
        <v>0</v>
      </c>
      <c r="K35" s="8">
        <f>IF(Responses!AJ35="","",IF(Responses!AJ35="Selalu",4,IF(Responses!AJ35="Sering",3,IF(Responses!AJ35="Kadang - Kadang",2,IF(Responses!AJ35="Jarang",1,0)))))</f>
        <v>3</v>
      </c>
      <c r="L35" s="8">
        <f>IF(Responses!AK35="","",IF(Responses!AK35="Selalu",4,IF(Responses!AK35="Sering",3,IF(Responses!AK35="Kadang - Kadang",2,IF(Responses!AK35="Jarang",1,0)))))</f>
        <v>0</v>
      </c>
      <c r="M35" s="8">
        <f>IF(Responses!AL35="","",IF(Responses!AL35="Selalu",4,IF(Responses!AL35="Sering",3,IF(Responses!AL35="Kadang - Kadang",2,IF(Responses!AL35="Jarang",1,0)))))</f>
        <v>1</v>
      </c>
      <c r="N35" s="8">
        <f>IF(Responses!AM35="","",IF(Responses!AM35="Selalu",4,IF(Responses!AM35="Sering",3,IF(Responses!AM35="Kadang - Kadang",2,IF(Responses!AM35="Jarang",1,0)))))</f>
        <v>2</v>
      </c>
      <c r="O35" s="8">
        <f>IF(Responses!AN35="","",IF(Responses!AN35="Selalu",4,IF(Responses!AN35="Sering",3,IF(Responses!AN35="Kadang - Kadang",2,IF(Responses!AN35="Jarang",1,0)))))</f>
        <v>2</v>
      </c>
      <c r="P35" s="8">
        <f>IF(Responses!AO35="","",IF(Responses!AO35="Selalu",4,IF(Responses!AO35="Sering",3,IF(Responses!AO35="Kadang - Kadang",2,IF(Responses!AO35="Jarang",1,0)))))</f>
        <v>2</v>
      </c>
      <c r="Q35" s="8">
        <f>IF(Responses!AP35="","",IF(Responses!AP35="Selalu",4,IF(Responses!AP35="Sering",3,IF(Responses!AP35="Kadang - Kadang",2,IF(Responses!AP35="Jarang",1,0)))))</f>
        <v>1</v>
      </c>
      <c r="R35" s="8">
        <f>IF(Responses!AQ35="","",IF(Responses!AQ35="Selalu",4,IF(Responses!AQ35="Sering",3,IF(Responses!AQ35="Kadang - Kadang",2,IF(Responses!AQ35="Jarang",1,0)))))</f>
        <v>2</v>
      </c>
      <c r="S35" s="8">
        <f>IF(Responses!AR35="","",IF(Responses!AR35="Selalu",4,IF(Responses!AR35="Sering",3,IF(Responses!AR35="Kadang - Kadang",2,IF(Responses!AR35="Jarang",1,0)))))</f>
        <v>0</v>
      </c>
      <c r="T35" s="8">
        <f>IF(Responses!AS35="","",IF(Responses!AS35="Selalu",4,IF(Responses!AS35="Sering",3,IF(Responses!AS35="Kadang - Kadang",2,IF(Responses!AS35="Jarang",1,0)))))</f>
        <v>1</v>
      </c>
      <c r="U35" s="8">
        <f>IF(Responses!AT35="","",IF(Responses!AT35="Selalu",4,IF(Responses!AT35="Sering",3,IF(Responses!AT35="Kadang - Kadang",2,IF(Responses!AT35="Jarang",1,0)))))</f>
        <v>2</v>
      </c>
      <c r="V35" s="8">
        <f>IF(Responses!AU35="","",IF(Responses!AU35="Selalu",4,IF(Responses!AU35="Sering",3,IF(Responses!AU35="Kadang - Kadang",2,IF(Responses!AU35="Jarang",1,0)))))</f>
        <v>2</v>
      </c>
      <c r="W35" s="8">
        <f>IF(Responses!AV35="","",IF(Responses!AV35="Selalu",4,IF(Responses!AV35="Sering",3,IF(Responses!AV35="Kadang - Kadang",2,IF(Responses!AV35="Jarang",1,0)))))</f>
        <v>0</v>
      </c>
      <c r="X35" s="8">
        <f>IF(Responses!AW35="","",IF(Responses!AW35="Selalu",4,IF(Responses!AW35="Sering",3,IF(Responses!AW35="Kadang - Kadang",2,IF(Responses!AW35="Jarang",1,0)))))</f>
        <v>1</v>
      </c>
      <c r="Y35" s="20">
        <f t="shared" si="2"/>
        <v>24</v>
      </c>
      <c r="Z35" s="22" t="str">
        <f t="shared" si="3"/>
        <v>Tidak/Sedikit Kecanduan</v>
      </c>
    </row>
    <row r="36" spans="1:26" x14ac:dyDescent="0.3">
      <c r="A36" s="19" t="str">
        <f>Responses!A36</f>
        <v>1WdjMD1</v>
      </c>
      <c r="B36" s="19" t="str">
        <f>Responses!B36</f>
        <v>1AbjZ24</v>
      </c>
      <c r="C36" s="19">
        <f>Responses!C36</f>
        <v>46136.097141203703</v>
      </c>
      <c r="D36" s="19" t="str">
        <f>Responses!D36</f>
        <v>Manggihi Aura</v>
      </c>
      <c r="E36" s="19" t="str">
        <f>Responses!E36</f>
        <v>XI-1</v>
      </c>
      <c r="F36" s="19">
        <f>Responses!F36</f>
        <v>16</v>
      </c>
      <c r="G36" s="8">
        <f>IF(Responses!AF36="","",IF(Responses!AF36="Selalu",4,IF(Responses!AF36="Sering",3,IF(Responses!AF36="Kadang - Kadang",2,IF(Responses!AF36="Jarang",1,0)))))</f>
        <v>3</v>
      </c>
      <c r="H36" s="8">
        <f>IF(Responses!AG36="","",IF(Responses!AG36="Selalu",4,IF(Responses!AG36="Sering",3,IF(Responses!AG36="Kadang - Kadang",2,IF(Responses!AG36="Jarang",1,0)))))</f>
        <v>2</v>
      </c>
      <c r="I36" s="8">
        <f>IF(Responses!AH36="","",IF(Responses!AH36="Selalu",4,IF(Responses!AH36="Sering",3,IF(Responses!AH36="Kadang - Kadang",2,IF(Responses!AH36="Jarang",1,0)))))</f>
        <v>3</v>
      </c>
      <c r="J36" s="8">
        <f>IF(Responses!AI36="","",IF(Responses!AI36="Selalu",4,IF(Responses!AI36="Sering",3,IF(Responses!AI36="Kadang - Kadang",2,IF(Responses!AI36="Jarang",1,0)))))</f>
        <v>1</v>
      </c>
      <c r="K36" s="8">
        <f>IF(Responses!AJ36="","",IF(Responses!AJ36="Selalu",4,IF(Responses!AJ36="Sering",3,IF(Responses!AJ36="Kadang - Kadang",2,IF(Responses!AJ36="Jarang",1,0)))))</f>
        <v>3</v>
      </c>
      <c r="L36" s="8">
        <f>IF(Responses!AK36="","",IF(Responses!AK36="Selalu",4,IF(Responses!AK36="Sering",3,IF(Responses!AK36="Kadang - Kadang",2,IF(Responses!AK36="Jarang",1,0)))))</f>
        <v>1</v>
      </c>
      <c r="M36" s="8">
        <f>IF(Responses!AL36="","",IF(Responses!AL36="Selalu",4,IF(Responses!AL36="Sering",3,IF(Responses!AL36="Kadang - Kadang",2,IF(Responses!AL36="Jarang",1,0)))))</f>
        <v>3</v>
      </c>
      <c r="N36" s="8">
        <f>IF(Responses!AM36="","",IF(Responses!AM36="Selalu",4,IF(Responses!AM36="Sering",3,IF(Responses!AM36="Kadang - Kadang",2,IF(Responses!AM36="Jarang",1,0)))))</f>
        <v>0</v>
      </c>
      <c r="O36" s="8">
        <f>IF(Responses!AN36="","",IF(Responses!AN36="Selalu",4,IF(Responses!AN36="Sering",3,IF(Responses!AN36="Kadang - Kadang",2,IF(Responses!AN36="Jarang",1,0)))))</f>
        <v>1</v>
      </c>
      <c r="P36" s="8">
        <f>IF(Responses!AO36="","",IF(Responses!AO36="Selalu",4,IF(Responses!AO36="Sering",3,IF(Responses!AO36="Kadang - Kadang",2,IF(Responses!AO36="Jarang",1,0)))))</f>
        <v>4</v>
      </c>
      <c r="Q36" s="8">
        <f>IF(Responses!AP36="","",IF(Responses!AP36="Selalu",4,IF(Responses!AP36="Sering",3,IF(Responses!AP36="Kadang - Kadang",2,IF(Responses!AP36="Jarang",1,0)))))</f>
        <v>3</v>
      </c>
      <c r="R36" s="8">
        <f>IF(Responses!AQ36="","",IF(Responses!AQ36="Selalu",4,IF(Responses!AQ36="Sering",3,IF(Responses!AQ36="Kadang - Kadang",2,IF(Responses!AQ36="Jarang",1,0)))))</f>
        <v>3</v>
      </c>
      <c r="S36" s="8">
        <f>IF(Responses!AR36="","",IF(Responses!AR36="Selalu",4,IF(Responses!AR36="Sering",3,IF(Responses!AR36="Kadang - Kadang",2,IF(Responses!AR36="Jarang",1,0)))))</f>
        <v>3</v>
      </c>
      <c r="T36" s="8">
        <f>IF(Responses!AS36="","",IF(Responses!AS36="Selalu",4,IF(Responses!AS36="Sering",3,IF(Responses!AS36="Kadang - Kadang",2,IF(Responses!AS36="Jarang",1,0)))))</f>
        <v>2</v>
      </c>
      <c r="U36" s="8">
        <f>IF(Responses!AT36="","",IF(Responses!AT36="Selalu",4,IF(Responses!AT36="Sering",3,IF(Responses!AT36="Kadang - Kadang",2,IF(Responses!AT36="Jarang",1,0)))))</f>
        <v>2</v>
      </c>
      <c r="V36" s="8">
        <f>IF(Responses!AU36="","",IF(Responses!AU36="Selalu",4,IF(Responses!AU36="Sering",3,IF(Responses!AU36="Kadang - Kadang",2,IF(Responses!AU36="Jarang",1,0)))))</f>
        <v>1</v>
      </c>
      <c r="W36" s="8">
        <f>IF(Responses!AV36="","",IF(Responses!AV36="Selalu",4,IF(Responses!AV36="Sering",3,IF(Responses!AV36="Kadang - Kadang",2,IF(Responses!AV36="Jarang",1,0)))))</f>
        <v>2</v>
      </c>
      <c r="X36" s="8">
        <f>IF(Responses!AW36="","",IF(Responses!AW36="Selalu",4,IF(Responses!AW36="Sering",3,IF(Responses!AW36="Kadang - Kadang",2,IF(Responses!AW36="Jarang",1,0)))))</f>
        <v>2</v>
      </c>
      <c r="Y36" s="20">
        <f t="shared" si="2"/>
        <v>39</v>
      </c>
      <c r="Z36" s="22" t="str">
        <f t="shared" si="3"/>
        <v>Kecanduan Borderline</v>
      </c>
    </row>
    <row r="37" spans="1:26" x14ac:dyDescent="0.3">
      <c r="A37" s="19" t="str">
        <f>Responses!A37</f>
        <v>xVMGyay</v>
      </c>
      <c r="B37" s="19" t="str">
        <f>Responses!B37</f>
        <v>MerBKDk</v>
      </c>
      <c r="C37" s="19">
        <f>Responses!C37</f>
        <v>46136.097303240742</v>
      </c>
      <c r="D37" s="19" t="str">
        <f>Responses!D37</f>
        <v>Risang Daiyan S.</v>
      </c>
      <c r="E37" s="19" t="str">
        <f>Responses!E37</f>
        <v>XI-2</v>
      </c>
      <c r="F37" s="19">
        <f>Responses!F37</f>
        <v>16</v>
      </c>
      <c r="G37" s="8">
        <f>IF(Responses!AF37="","",IF(Responses!AF37="Selalu",4,IF(Responses!AF37="Sering",3,IF(Responses!AF37="Kadang - Kadang",2,IF(Responses!AF37="Jarang",1,0)))))</f>
        <v>3</v>
      </c>
      <c r="H37" s="8">
        <f>IF(Responses!AG37="","",IF(Responses!AG37="Selalu",4,IF(Responses!AG37="Sering",3,IF(Responses!AG37="Kadang - Kadang",2,IF(Responses!AG37="Jarang",1,0)))))</f>
        <v>2</v>
      </c>
      <c r="I37" s="8">
        <f>IF(Responses!AH37="","",IF(Responses!AH37="Selalu",4,IF(Responses!AH37="Sering",3,IF(Responses!AH37="Kadang - Kadang",2,IF(Responses!AH37="Jarang",1,0)))))</f>
        <v>2</v>
      </c>
      <c r="J37" s="8">
        <f>IF(Responses!AI37="","",IF(Responses!AI37="Selalu",4,IF(Responses!AI37="Sering",3,IF(Responses!AI37="Kadang - Kadang",2,IF(Responses!AI37="Jarang",1,0)))))</f>
        <v>3</v>
      </c>
      <c r="K37" s="8">
        <f>IF(Responses!AJ37="","",IF(Responses!AJ37="Selalu",4,IF(Responses!AJ37="Sering",3,IF(Responses!AJ37="Kadang - Kadang",2,IF(Responses!AJ37="Jarang",1,0)))))</f>
        <v>3</v>
      </c>
      <c r="L37" s="8">
        <f>IF(Responses!AK37="","",IF(Responses!AK37="Selalu",4,IF(Responses!AK37="Sering",3,IF(Responses!AK37="Kadang - Kadang",2,IF(Responses!AK37="Jarang",1,0)))))</f>
        <v>1</v>
      </c>
      <c r="M37" s="8">
        <f>IF(Responses!AL37="","",IF(Responses!AL37="Selalu",4,IF(Responses!AL37="Sering",3,IF(Responses!AL37="Kadang - Kadang",2,IF(Responses!AL37="Jarang",1,0)))))</f>
        <v>2</v>
      </c>
      <c r="N37" s="8">
        <f>IF(Responses!AM37="","",IF(Responses!AM37="Selalu",4,IF(Responses!AM37="Sering",3,IF(Responses!AM37="Kadang - Kadang",2,IF(Responses!AM37="Jarang",1,0)))))</f>
        <v>1</v>
      </c>
      <c r="O37" s="8">
        <f>IF(Responses!AN37="","",IF(Responses!AN37="Selalu",4,IF(Responses!AN37="Sering",3,IF(Responses!AN37="Kadang - Kadang",2,IF(Responses!AN37="Jarang",1,0)))))</f>
        <v>1</v>
      </c>
      <c r="P37" s="8">
        <f>IF(Responses!AO37="","",IF(Responses!AO37="Selalu",4,IF(Responses!AO37="Sering",3,IF(Responses!AO37="Kadang - Kadang",2,IF(Responses!AO37="Jarang",1,0)))))</f>
        <v>1</v>
      </c>
      <c r="Q37" s="8">
        <f>IF(Responses!AP37="","",IF(Responses!AP37="Selalu",4,IF(Responses!AP37="Sering",3,IF(Responses!AP37="Kadang - Kadang",2,IF(Responses!AP37="Jarang",1,0)))))</f>
        <v>3</v>
      </c>
      <c r="R37" s="8">
        <f>IF(Responses!AQ37="","",IF(Responses!AQ37="Selalu",4,IF(Responses!AQ37="Sering",3,IF(Responses!AQ37="Kadang - Kadang",2,IF(Responses!AQ37="Jarang",1,0)))))</f>
        <v>1</v>
      </c>
      <c r="S37" s="8">
        <f>IF(Responses!AR37="","",IF(Responses!AR37="Selalu",4,IF(Responses!AR37="Sering",3,IF(Responses!AR37="Kadang - Kadang",2,IF(Responses!AR37="Jarang",1,0)))))</f>
        <v>1</v>
      </c>
      <c r="T37" s="8">
        <f>IF(Responses!AS37="","",IF(Responses!AS37="Selalu",4,IF(Responses!AS37="Sering",3,IF(Responses!AS37="Kadang - Kadang",2,IF(Responses!AS37="Jarang",1,0)))))</f>
        <v>1</v>
      </c>
      <c r="U37" s="8">
        <f>IF(Responses!AT37="","",IF(Responses!AT37="Selalu",4,IF(Responses!AT37="Sering",3,IF(Responses!AT37="Kadang - Kadang",2,IF(Responses!AT37="Jarang",1,0)))))</f>
        <v>3</v>
      </c>
      <c r="V37" s="8">
        <f>IF(Responses!AU37="","",IF(Responses!AU37="Selalu",4,IF(Responses!AU37="Sering",3,IF(Responses!AU37="Kadang - Kadang",2,IF(Responses!AU37="Jarang",1,0)))))</f>
        <v>2</v>
      </c>
      <c r="W37" s="8">
        <f>IF(Responses!AV37="","",IF(Responses!AV37="Selalu",4,IF(Responses!AV37="Sering",3,IF(Responses!AV37="Kadang - Kadang",2,IF(Responses!AV37="Jarang",1,0)))))</f>
        <v>1</v>
      </c>
      <c r="X37" s="8">
        <f>IF(Responses!AW37="","",IF(Responses!AW37="Selalu",4,IF(Responses!AW37="Sering",3,IF(Responses!AW37="Kadang - Kadang",2,IF(Responses!AW37="Jarang",1,0)))))</f>
        <v>0</v>
      </c>
      <c r="Y37" s="20">
        <f t="shared" si="2"/>
        <v>31</v>
      </c>
      <c r="Z37" s="22" t="str">
        <f t="shared" si="3"/>
        <v>Kecanduan Borderline</v>
      </c>
    </row>
    <row r="38" spans="1:26" x14ac:dyDescent="0.3">
      <c r="A38" s="19" t="str">
        <f>Responses!A38</f>
        <v>LD78Y0G</v>
      </c>
      <c r="B38" s="19" t="str">
        <f>Responses!B38</f>
        <v>RGZpKP9</v>
      </c>
      <c r="C38" s="19">
        <f>Responses!C38</f>
        <v>46136.097314814811</v>
      </c>
      <c r="D38" s="19" t="str">
        <f>Responses!D38</f>
        <v>Ghania Rajni</v>
      </c>
      <c r="E38" s="19" t="str">
        <f>Responses!E38</f>
        <v>XI-2</v>
      </c>
      <c r="F38" s="19">
        <f>Responses!F38</f>
        <v>17</v>
      </c>
      <c r="G38" s="8">
        <f>IF(Responses!AF38="","",IF(Responses!AF38="Selalu",4,IF(Responses!AF38="Sering",3,IF(Responses!AF38="Kadang - Kadang",2,IF(Responses!AF38="Jarang",1,0)))))</f>
        <v>3</v>
      </c>
      <c r="H38" s="8">
        <f>IF(Responses!AG38="","",IF(Responses!AG38="Selalu",4,IF(Responses!AG38="Sering",3,IF(Responses!AG38="Kadang - Kadang",2,IF(Responses!AG38="Jarang",1,0)))))</f>
        <v>2</v>
      </c>
      <c r="I38" s="8">
        <f>IF(Responses!AH38="","",IF(Responses!AH38="Selalu",4,IF(Responses!AH38="Sering",3,IF(Responses!AH38="Kadang - Kadang",2,IF(Responses!AH38="Jarang",1,0)))))</f>
        <v>3</v>
      </c>
      <c r="J38" s="8">
        <f>IF(Responses!AI38="","",IF(Responses!AI38="Selalu",4,IF(Responses!AI38="Sering",3,IF(Responses!AI38="Kadang - Kadang",2,IF(Responses!AI38="Jarang",1,0)))))</f>
        <v>1</v>
      </c>
      <c r="K38" s="8">
        <f>IF(Responses!AJ38="","",IF(Responses!AJ38="Selalu",4,IF(Responses!AJ38="Sering",3,IF(Responses!AJ38="Kadang - Kadang",2,IF(Responses!AJ38="Jarang",1,0)))))</f>
        <v>1</v>
      </c>
      <c r="L38" s="8">
        <f>IF(Responses!AK38="","",IF(Responses!AK38="Selalu",4,IF(Responses!AK38="Sering",3,IF(Responses!AK38="Kadang - Kadang",2,IF(Responses!AK38="Jarang",1,0)))))</f>
        <v>2</v>
      </c>
      <c r="M38" s="8">
        <f>IF(Responses!AL38="","",IF(Responses!AL38="Selalu",4,IF(Responses!AL38="Sering",3,IF(Responses!AL38="Kadang - Kadang",2,IF(Responses!AL38="Jarang",1,0)))))</f>
        <v>2</v>
      </c>
      <c r="N38" s="8">
        <f>IF(Responses!AM38="","",IF(Responses!AM38="Selalu",4,IF(Responses!AM38="Sering",3,IF(Responses!AM38="Kadang - Kadang",2,IF(Responses!AM38="Jarang",1,0)))))</f>
        <v>4</v>
      </c>
      <c r="O38" s="8">
        <f>IF(Responses!AN38="","",IF(Responses!AN38="Selalu",4,IF(Responses!AN38="Sering",3,IF(Responses!AN38="Kadang - Kadang",2,IF(Responses!AN38="Jarang",1,0)))))</f>
        <v>2</v>
      </c>
      <c r="P38" s="8">
        <f>IF(Responses!AO38="","",IF(Responses!AO38="Selalu",4,IF(Responses!AO38="Sering",3,IF(Responses!AO38="Kadang - Kadang",2,IF(Responses!AO38="Jarang",1,0)))))</f>
        <v>4</v>
      </c>
      <c r="Q38" s="8">
        <f>IF(Responses!AP38="","",IF(Responses!AP38="Selalu",4,IF(Responses!AP38="Sering",3,IF(Responses!AP38="Kadang - Kadang",2,IF(Responses!AP38="Jarang",1,0)))))</f>
        <v>1</v>
      </c>
      <c r="R38" s="8">
        <f>IF(Responses!AQ38="","",IF(Responses!AQ38="Selalu",4,IF(Responses!AQ38="Sering",3,IF(Responses!AQ38="Kadang - Kadang",2,IF(Responses!AQ38="Jarang",1,0)))))</f>
        <v>2</v>
      </c>
      <c r="S38" s="8">
        <f>IF(Responses!AR38="","",IF(Responses!AR38="Selalu",4,IF(Responses!AR38="Sering",3,IF(Responses!AR38="Kadang - Kadang",2,IF(Responses!AR38="Jarang",1,0)))))</f>
        <v>3</v>
      </c>
      <c r="T38" s="8">
        <f>IF(Responses!AS38="","",IF(Responses!AS38="Selalu",4,IF(Responses!AS38="Sering",3,IF(Responses!AS38="Kadang - Kadang",2,IF(Responses!AS38="Jarang",1,0)))))</f>
        <v>1</v>
      </c>
      <c r="U38" s="8">
        <f>IF(Responses!AT38="","",IF(Responses!AT38="Selalu",4,IF(Responses!AT38="Sering",3,IF(Responses!AT38="Kadang - Kadang",2,IF(Responses!AT38="Jarang",1,0)))))</f>
        <v>3</v>
      </c>
      <c r="V38" s="8">
        <f>IF(Responses!AU38="","",IF(Responses!AU38="Selalu",4,IF(Responses!AU38="Sering",3,IF(Responses!AU38="Kadang - Kadang",2,IF(Responses!AU38="Jarang",1,0)))))</f>
        <v>0</v>
      </c>
      <c r="W38" s="8">
        <f>IF(Responses!AV38="","",IF(Responses!AV38="Selalu",4,IF(Responses!AV38="Sering",3,IF(Responses!AV38="Kadang - Kadang",2,IF(Responses!AV38="Jarang",1,0)))))</f>
        <v>0</v>
      </c>
      <c r="X38" s="8">
        <f>IF(Responses!AW38="","",IF(Responses!AW38="Selalu",4,IF(Responses!AW38="Sering",3,IF(Responses!AW38="Kadang - Kadang",2,IF(Responses!AW38="Jarang",1,0)))))</f>
        <v>1</v>
      </c>
      <c r="Y38" s="20">
        <f t="shared" si="2"/>
        <v>35</v>
      </c>
      <c r="Z38" s="22" t="str">
        <f t="shared" si="3"/>
        <v>Kecanduan Borderline</v>
      </c>
    </row>
    <row r="39" spans="1:26" ht="24" customHeight="1" x14ac:dyDescent="0.3">
      <c r="A39" s="19" t="str">
        <f>Responses!A39</f>
        <v>laepWZN</v>
      </c>
      <c r="B39" s="19" t="str">
        <f>Responses!B39</f>
        <v>XxRXlze</v>
      </c>
      <c r="C39" s="19">
        <f>Responses!C39</f>
        <v>46136.097384259258</v>
      </c>
      <c r="D39" s="19" t="str">
        <f>Responses!D39</f>
        <v>Natasha Almeira</v>
      </c>
      <c r="E39" s="19" t="str">
        <f>Responses!E39</f>
        <v>XI-2</v>
      </c>
      <c r="F39" s="19">
        <f>Responses!F39</f>
        <v>17</v>
      </c>
      <c r="G39" s="8">
        <f>IF(Responses!AF39="","",IF(Responses!AF39="Selalu",4,IF(Responses!AF39="Sering",3,IF(Responses!AF39="Kadang - Kadang",2,IF(Responses!AF39="Jarang",1,0)))))</f>
        <v>2</v>
      </c>
      <c r="H39" s="8">
        <f>IF(Responses!AG39="","",IF(Responses!AG39="Selalu",4,IF(Responses!AG39="Sering",3,IF(Responses!AG39="Kadang - Kadang",2,IF(Responses!AG39="Jarang",1,0)))))</f>
        <v>0</v>
      </c>
      <c r="I39" s="8">
        <f>IF(Responses!AH39="","",IF(Responses!AH39="Selalu",4,IF(Responses!AH39="Sering",3,IF(Responses!AH39="Kadang - Kadang",2,IF(Responses!AH39="Jarang",1,0)))))</f>
        <v>0</v>
      </c>
      <c r="J39" s="8">
        <f>IF(Responses!AI39="","",IF(Responses!AI39="Selalu",4,IF(Responses!AI39="Sering",3,IF(Responses!AI39="Kadang - Kadang",2,IF(Responses!AI39="Jarang",1,0)))))</f>
        <v>1</v>
      </c>
      <c r="K39" s="8">
        <f>IF(Responses!AJ39="","",IF(Responses!AJ39="Selalu",4,IF(Responses!AJ39="Sering",3,IF(Responses!AJ39="Kadang - Kadang",2,IF(Responses!AJ39="Jarang",1,0)))))</f>
        <v>0</v>
      </c>
      <c r="L39" s="8">
        <f>IF(Responses!AK39="","",IF(Responses!AK39="Selalu",4,IF(Responses!AK39="Sering",3,IF(Responses!AK39="Kadang - Kadang",2,IF(Responses!AK39="Jarang",1,0)))))</f>
        <v>0</v>
      </c>
      <c r="M39" s="8">
        <f>IF(Responses!AL39="","",IF(Responses!AL39="Selalu",4,IF(Responses!AL39="Sering",3,IF(Responses!AL39="Kadang - Kadang",2,IF(Responses!AL39="Jarang",1,0)))))</f>
        <v>0</v>
      </c>
      <c r="N39" s="8">
        <f>IF(Responses!AM39="","",IF(Responses!AM39="Selalu",4,IF(Responses!AM39="Sering",3,IF(Responses!AM39="Kadang - Kadang",2,IF(Responses!AM39="Jarang",1,0)))))</f>
        <v>0</v>
      </c>
      <c r="O39" s="8">
        <f>IF(Responses!AN39="","",IF(Responses!AN39="Selalu",4,IF(Responses!AN39="Sering",3,IF(Responses!AN39="Kadang - Kadang",2,IF(Responses!AN39="Jarang",1,0)))))</f>
        <v>0</v>
      </c>
      <c r="P39" s="8">
        <f>IF(Responses!AO39="","",IF(Responses!AO39="Selalu",4,IF(Responses!AO39="Sering",3,IF(Responses!AO39="Kadang - Kadang",2,IF(Responses!AO39="Jarang",1,0)))))</f>
        <v>0</v>
      </c>
      <c r="Q39" s="8">
        <f>IF(Responses!AP39="","",IF(Responses!AP39="Selalu",4,IF(Responses!AP39="Sering",3,IF(Responses!AP39="Kadang - Kadang",2,IF(Responses!AP39="Jarang",1,0)))))</f>
        <v>0</v>
      </c>
      <c r="R39" s="8">
        <f>IF(Responses!AQ39="","",IF(Responses!AQ39="Selalu",4,IF(Responses!AQ39="Sering",3,IF(Responses!AQ39="Kadang - Kadang",2,IF(Responses!AQ39="Jarang",1,0)))))</f>
        <v>0</v>
      </c>
      <c r="S39" s="8">
        <f>IF(Responses!AR39="","",IF(Responses!AR39="Selalu",4,IF(Responses!AR39="Sering",3,IF(Responses!AR39="Kadang - Kadang",2,IF(Responses!AR39="Jarang",1,0)))))</f>
        <v>0</v>
      </c>
      <c r="T39" s="8">
        <f>IF(Responses!AS39="","",IF(Responses!AS39="Selalu",4,IF(Responses!AS39="Sering",3,IF(Responses!AS39="Kadang - Kadang",2,IF(Responses!AS39="Jarang",1,0)))))</f>
        <v>0</v>
      </c>
      <c r="U39" s="8">
        <f>IF(Responses!AT39="","",IF(Responses!AT39="Selalu",4,IF(Responses!AT39="Sering",3,IF(Responses!AT39="Kadang - Kadang",2,IF(Responses!AT39="Jarang",1,0)))))</f>
        <v>1</v>
      </c>
      <c r="V39" s="8">
        <f>IF(Responses!AU39="","",IF(Responses!AU39="Selalu",4,IF(Responses!AU39="Sering",3,IF(Responses!AU39="Kadang - Kadang",2,IF(Responses!AU39="Jarang",1,0)))))</f>
        <v>0</v>
      </c>
      <c r="W39" s="8">
        <f>IF(Responses!AV39="","",IF(Responses!AV39="Selalu",4,IF(Responses!AV39="Sering",3,IF(Responses!AV39="Kadang - Kadang",2,IF(Responses!AV39="Jarang",1,0)))))</f>
        <v>0</v>
      </c>
      <c r="X39" s="8">
        <f>IF(Responses!AW39="","",IF(Responses!AW39="Selalu",4,IF(Responses!AW39="Sering",3,IF(Responses!AW39="Kadang - Kadang",2,IF(Responses!AW39="Jarang",1,0)))))</f>
        <v>0</v>
      </c>
      <c r="Y39" s="20">
        <f t="shared" si="2"/>
        <v>4</v>
      </c>
      <c r="Z39" s="22" t="str">
        <f t="shared" si="3"/>
        <v>Tidak/Sedikit Kecanduan</v>
      </c>
    </row>
    <row r="40" spans="1:26" ht="24" customHeight="1" x14ac:dyDescent="0.3">
      <c r="A40" s="19" t="str">
        <f>Responses!A40</f>
        <v>aO5WD2X</v>
      </c>
      <c r="B40" s="19" t="str">
        <f>Responses!B40</f>
        <v>44154ao</v>
      </c>
      <c r="C40" s="19">
        <f>Responses!C40</f>
        <v>46136.097500000003</v>
      </c>
      <c r="D40" s="19" t="str">
        <f>Responses!D40</f>
        <v>Ardin Adiwityandana</v>
      </c>
      <c r="E40" s="19" t="str">
        <f>Responses!E40</f>
        <v>XI-2</v>
      </c>
      <c r="F40" s="19">
        <f>Responses!F40</f>
        <v>17</v>
      </c>
      <c r="G40" s="8">
        <f>IF(Responses!AF40="","",IF(Responses!AF40="Selalu",4,IF(Responses!AF40="Sering",3,IF(Responses!AF40="Kadang - Kadang",2,IF(Responses!AF40="Jarang",1,0)))))</f>
        <v>1</v>
      </c>
      <c r="H40" s="8">
        <f>IF(Responses!AG40="","",IF(Responses!AG40="Selalu",4,IF(Responses!AG40="Sering",3,IF(Responses!AG40="Kadang - Kadang",2,IF(Responses!AG40="Jarang",1,0)))))</f>
        <v>1</v>
      </c>
      <c r="I40" s="8">
        <f>IF(Responses!AH40="","",IF(Responses!AH40="Selalu",4,IF(Responses!AH40="Sering",3,IF(Responses!AH40="Kadang - Kadang",2,IF(Responses!AH40="Jarang",1,0)))))</f>
        <v>1</v>
      </c>
      <c r="J40" s="8">
        <f>IF(Responses!AI40="","",IF(Responses!AI40="Selalu",4,IF(Responses!AI40="Sering",3,IF(Responses!AI40="Kadang - Kadang",2,IF(Responses!AI40="Jarang",1,0)))))</f>
        <v>0</v>
      </c>
      <c r="K40" s="8">
        <f>IF(Responses!AJ40="","",IF(Responses!AJ40="Selalu",4,IF(Responses!AJ40="Sering",3,IF(Responses!AJ40="Kadang - Kadang",2,IF(Responses!AJ40="Jarang",1,0)))))</f>
        <v>2</v>
      </c>
      <c r="L40" s="8">
        <f>IF(Responses!AK40="","",IF(Responses!AK40="Selalu",4,IF(Responses!AK40="Sering",3,IF(Responses!AK40="Kadang - Kadang",2,IF(Responses!AK40="Jarang",1,0)))))</f>
        <v>0</v>
      </c>
      <c r="M40" s="8">
        <f>IF(Responses!AL40="","",IF(Responses!AL40="Selalu",4,IF(Responses!AL40="Sering",3,IF(Responses!AL40="Kadang - Kadang",2,IF(Responses!AL40="Jarang",1,0)))))</f>
        <v>0</v>
      </c>
      <c r="N40" s="8">
        <f>IF(Responses!AM40="","",IF(Responses!AM40="Selalu",4,IF(Responses!AM40="Sering",3,IF(Responses!AM40="Kadang - Kadang",2,IF(Responses!AM40="Jarang",1,0)))))</f>
        <v>1</v>
      </c>
      <c r="O40" s="8">
        <f>IF(Responses!AN40="","",IF(Responses!AN40="Selalu",4,IF(Responses!AN40="Sering",3,IF(Responses!AN40="Kadang - Kadang",2,IF(Responses!AN40="Jarang",1,0)))))</f>
        <v>0</v>
      </c>
      <c r="P40" s="8">
        <f>IF(Responses!AO40="","",IF(Responses!AO40="Selalu",4,IF(Responses!AO40="Sering",3,IF(Responses!AO40="Kadang - Kadang",2,IF(Responses!AO40="Jarang",1,0)))))</f>
        <v>0</v>
      </c>
      <c r="Q40" s="8">
        <f>IF(Responses!AP40="","",IF(Responses!AP40="Selalu",4,IF(Responses!AP40="Sering",3,IF(Responses!AP40="Kadang - Kadang",2,IF(Responses!AP40="Jarang",1,0)))))</f>
        <v>0</v>
      </c>
      <c r="R40" s="8">
        <f>IF(Responses!AQ40="","",IF(Responses!AQ40="Selalu",4,IF(Responses!AQ40="Sering",3,IF(Responses!AQ40="Kadang - Kadang",2,IF(Responses!AQ40="Jarang",1,0)))))</f>
        <v>0</v>
      </c>
      <c r="S40" s="8">
        <f>IF(Responses!AR40="","",IF(Responses!AR40="Selalu",4,IF(Responses!AR40="Sering",3,IF(Responses!AR40="Kadang - Kadang",2,IF(Responses!AR40="Jarang",1,0)))))</f>
        <v>0</v>
      </c>
      <c r="T40" s="8">
        <f>IF(Responses!AS40="","",IF(Responses!AS40="Selalu",4,IF(Responses!AS40="Sering",3,IF(Responses!AS40="Kadang - Kadang",2,IF(Responses!AS40="Jarang",1,0)))))</f>
        <v>0</v>
      </c>
      <c r="U40" s="8">
        <f>IF(Responses!AT40="","",IF(Responses!AT40="Selalu",4,IF(Responses!AT40="Sering",3,IF(Responses!AT40="Kadang - Kadang",2,IF(Responses!AT40="Jarang",1,0)))))</f>
        <v>0</v>
      </c>
      <c r="V40" s="8">
        <f>IF(Responses!AU40="","",IF(Responses!AU40="Selalu",4,IF(Responses!AU40="Sering",3,IF(Responses!AU40="Kadang - Kadang",2,IF(Responses!AU40="Jarang",1,0)))))</f>
        <v>0</v>
      </c>
      <c r="W40" s="8">
        <f>IF(Responses!AV40="","",IF(Responses!AV40="Selalu",4,IF(Responses!AV40="Sering",3,IF(Responses!AV40="Kadang - Kadang",2,IF(Responses!AV40="Jarang",1,0)))))</f>
        <v>2</v>
      </c>
      <c r="X40" s="8">
        <f>IF(Responses!AW40="","",IF(Responses!AW40="Selalu",4,IF(Responses!AW40="Sering",3,IF(Responses!AW40="Kadang - Kadang",2,IF(Responses!AW40="Jarang",1,0)))))</f>
        <v>0</v>
      </c>
      <c r="Y40" s="20">
        <f t="shared" si="2"/>
        <v>8</v>
      </c>
      <c r="Z40" s="22" t="str">
        <f t="shared" si="3"/>
        <v>Tidak/Sedikit Kecanduan</v>
      </c>
    </row>
    <row r="41" spans="1:26" ht="24" customHeight="1" x14ac:dyDescent="0.3">
      <c r="A41" s="19" t="str">
        <f>Responses!A41</f>
        <v>0VB4J4N</v>
      </c>
      <c r="B41" s="19" t="str">
        <f>Responses!B41</f>
        <v>Y5o85BN</v>
      </c>
      <c r="C41" s="19">
        <f>Responses!C41</f>
        <v>46136.097662037027</v>
      </c>
      <c r="D41" s="19" t="str">
        <f>Responses!D41</f>
        <v>Khansa Tiara Danayafutri</v>
      </c>
      <c r="E41" s="19" t="str">
        <f>Responses!E41</f>
        <v>XI-1</v>
      </c>
      <c r="F41" s="19">
        <f>Responses!F41</f>
        <v>17</v>
      </c>
      <c r="G41" s="8">
        <f>IF(Responses!AF41="","",IF(Responses!AF41="Selalu",4,IF(Responses!AF41="Sering",3,IF(Responses!AF41="Kadang - Kadang",2,IF(Responses!AF41="Jarang",1,0)))))</f>
        <v>2</v>
      </c>
      <c r="H41" s="8">
        <f>IF(Responses!AG41="","",IF(Responses!AG41="Selalu",4,IF(Responses!AG41="Sering",3,IF(Responses!AG41="Kadang - Kadang",2,IF(Responses!AG41="Jarang",1,0)))))</f>
        <v>1</v>
      </c>
      <c r="I41" s="8">
        <f>IF(Responses!AH41="","",IF(Responses!AH41="Selalu",4,IF(Responses!AH41="Sering",3,IF(Responses!AH41="Kadang - Kadang",2,IF(Responses!AH41="Jarang",1,0)))))</f>
        <v>1</v>
      </c>
      <c r="J41" s="8">
        <f>IF(Responses!AI41="","",IF(Responses!AI41="Selalu",4,IF(Responses!AI41="Sering",3,IF(Responses!AI41="Kadang - Kadang",2,IF(Responses!AI41="Jarang",1,0)))))</f>
        <v>0</v>
      </c>
      <c r="K41" s="8">
        <f>IF(Responses!AJ41="","",IF(Responses!AJ41="Selalu",4,IF(Responses!AJ41="Sering",3,IF(Responses!AJ41="Kadang - Kadang",2,IF(Responses!AJ41="Jarang",1,0)))))</f>
        <v>4</v>
      </c>
      <c r="L41" s="8">
        <f>IF(Responses!AK41="","",IF(Responses!AK41="Selalu",4,IF(Responses!AK41="Sering",3,IF(Responses!AK41="Kadang - Kadang",2,IF(Responses!AK41="Jarang",1,0)))))</f>
        <v>0</v>
      </c>
      <c r="M41" s="8">
        <f>IF(Responses!AL41="","",IF(Responses!AL41="Selalu",4,IF(Responses!AL41="Sering",3,IF(Responses!AL41="Kadang - Kadang",2,IF(Responses!AL41="Jarang",1,0)))))</f>
        <v>0</v>
      </c>
      <c r="N41" s="8">
        <f>IF(Responses!AM41="","",IF(Responses!AM41="Selalu",4,IF(Responses!AM41="Sering",3,IF(Responses!AM41="Kadang - Kadang",2,IF(Responses!AM41="Jarang",1,0)))))</f>
        <v>1</v>
      </c>
      <c r="O41" s="8">
        <f>IF(Responses!AN41="","",IF(Responses!AN41="Selalu",4,IF(Responses!AN41="Sering",3,IF(Responses!AN41="Kadang - Kadang",2,IF(Responses!AN41="Jarang",1,0)))))</f>
        <v>0</v>
      </c>
      <c r="P41" s="8">
        <f>IF(Responses!AO41="","",IF(Responses!AO41="Selalu",4,IF(Responses!AO41="Sering",3,IF(Responses!AO41="Kadang - Kadang",2,IF(Responses!AO41="Jarang",1,0)))))</f>
        <v>0</v>
      </c>
      <c r="Q41" s="8">
        <f>IF(Responses!AP41="","",IF(Responses!AP41="Selalu",4,IF(Responses!AP41="Sering",3,IF(Responses!AP41="Kadang - Kadang",2,IF(Responses!AP41="Jarang",1,0)))))</f>
        <v>0</v>
      </c>
      <c r="R41" s="8">
        <f>IF(Responses!AQ41="","",IF(Responses!AQ41="Selalu",4,IF(Responses!AQ41="Sering",3,IF(Responses!AQ41="Kadang - Kadang",2,IF(Responses!AQ41="Jarang",1,0)))))</f>
        <v>1</v>
      </c>
      <c r="S41" s="8">
        <f>IF(Responses!AR41="","",IF(Responses!AR41="Selalu",4,IF(Responses!AR41="Sering",3,IF(Responses!AR41="Kadang - Kadang",2,IF(Responses!AR41="Jarang",1,0)))))</f>
        <v>1</v>
      </c>
      <c r="T41" s="8">
        <f>IF(Responses!AS41="","",IF(Responses!AS41="Selalu",4,IF(Responses!AS41="Sering",3,IF(Responses!AS41="Kadang - Kadang",2,IF(Responses!AS41="Jarang",1,0)))))</f>
        <v>0</v>
      </c>
      <c r="U41" s="8">
        <f>IF(Responses!AT41="","",IF(Responses!AT41="Selalu",4,IF(Responses!AT41="Sering",3,IF(Responses!AT41="Kadang - Kadang",2,IF(Responses!AT41="Jarang",1,0)))))</f>
        <v>0</v>
      </c>
      <c r="V41" s="8">
        <f>IF(Responses!AU41="","",IF(Responses!AU41="Selalu",4,IF(Responses!AU41="Sering",3,IF(Responses!AU41="Kadang - Kadang",2,IF(Responses!AU41="Jarang",1,0)))))</f>
        <v>2</v>
      </c>
      <c r="W41" s="8">
        <f>IF(Responses!AV41="","",IF(Responses!AV41="Selalu",4,IF(Responses!AV41="Sering",3,IF(Responses!AV41="Kadang - Kadang",2,IF(Responses!AV41="Jarang",1,0)))))</f>
        <v>1</v>
      </c>
      <c r="X41" s="8">
        <f>IF(Responses!AW41="","",IF(Responses!AW41="Selalu",4,IF(Responses!AW41="Sering",3,IF(Responses!AW41="Kadang - Kadang",2,IF(Responses!AW41="Jarang",1,0)))))</f>
        <v>2</v>
      </c>
      <c r="Y41" s="20">
        <f t="shared" si="2"/>
        <v>16</v>
      </c>
      <c r="Z41" s="22" t="str">
        <f t="shared" si="3"/>
        <v>Tidak/Sedikit Kecanduan</v>
      </c>
    </row>
    <row r="42" spans="1:26" ht="24" customHeight="1" x14ac:dyDescent="0.3">
      <c r="A42" s="19" t="str">
        <f>Responses!A42</f>
        <v>8Na9pgo</v>
      </c>
      <c r="B42" s="19" t="str">
        <f>Responses!B42</f>
        <v>Np4kqdB</v>
      </c>
      <c r="C42" s="19">
        <f>Responses!C42</f>
        <v>46136.097824074073</v>
      </c>
      <c r="D42" s="19" t="str">
        <f>Responses!D42</f>
        <v xml:space="preserve">FIKI DEA LESTARI </v>
      </c>
      <c r="E42" s="19" t="str">
        <f>Responses!E42</f>
        <v>XI-2</v>
      </c>
      <c r="F42" s="19">
        <f>Responses!F42</f>
        <v>18</v>
      </c>
      <c r="G42" s="8">
        <f>IF(Responses!AF42="","",IF(Responses!AF42="Selalu",4,IF(Responses!AF42="Sering",3,IF(Responses!AF42="Kadang - Kadang",2,IF(Responses!AF42="Jarang",1,0)))))</f>
        <v>1</v>
      </c>
      <c r="H42" s="8">
        <f>IF(Responses!AG42="","",IF(Responses!AG42="Selalu",4,IF(Responses!AG42="Sering",3,IF(Responses!AG42="Kadang - Kadang",2,IF(Responses!AG42="Jarang",1,0)))))</f>
        <v>2</v>
      </c>
      <c r="I42" s="8">
        <f>IF(Responses!AH42="","",IF(Responses!AH42="Selalu",4,IF(Responses!AH42="Sering",3,IF(Responses!AH42="Kadang - Kadang",2,IF(Responses!AH42="Jarang",1,0)))))</f>
        <v>2</v>
      </c>
      <c r="J42" s="8">
        <f>IF(Responses!AI42="","",IF(Responses!AI42="Selalu",4,IF(Responses!AI42="Sering",3,IF(Responses!AI42="Kadang - Kadang",2,IF(Responses!AI42="Jarang",1,0)))))</f>
        <v>0</v>
      </c>
      <c r="K42" s="8">
        <f>IF(Responses!AJ42="","",IF(Responses!AJ42="Selalu",4,IF(Responses!AJ42="Sering",3,IF(Responses!AJ42="Kadang - Kadang",2,IF(Responses!AJ42="Jarang",1,0)))))</f>
        <v>3</v>
      </c>
      <c r="L42" s="8">
        <f>IF(Responses!AK42="","",IF(Responses!AK42="Selalu",4,IF(Responses!AK42="Sering",3,IF(Responses!AK42="Kadang - Kadang",2,IF(Responses!AK42="Jarang",1,0)))))</f>
        <v>0</v>
      </c>
      <c r="M42" s="8">
        <f>IF(Responses!AL42="","",IF(Responses!AL42="Selalu",4,IF(Responses!AL42="Sering",3,IF(Responses!AL42="Kadang - Kadang",2,IF(Responses!AL42="Jarang",1,0)))))</f>
        <v>0</v>
      </c>
      <c r="N42" s="8">
        <f>IF(Responses!AM42="","",IF(Responses!AM42="Selalu",4,IF(Responses!AM42="Sering",3,IF(Responses!AM42="Kadang - Kadang",2,IF(Responses!AM42="Jarang",1,0)))))</f>
        <v>2</v>
      </c>
      <c r="O42" s="8">
        <f>IF(Responses!AN42="","",IF(Responses!AN42="Selalu",4,IF(Responses!AN42="Sering",3,IF(Responses!AN42="Kadang - Kadang",2,IF(Responses!AN42="Jarang",1,0)))))</f>
        <v>0</v>
      </c>
      <c r="P42" s="8">
        <f>IF(Responses!AO42="","",IF(Responses!AO42="Selalu",4,IF(Responses!AO42="Sering",3,IF(Responses!AO42="Kadang - Kadang",2,IF(Responses!AO42="Jarang",1,0)))))</f>
        <v>3</v>
      </c>
      <c r="Q42" s="8">
        <f>IF(Responses!AP42="","",IF(Responses!AP42="Selalu",4,IF(Responses!AP42="Sering",3,IF(Responses!AP42="Kadang - Kadang",2,IF(Responses!AP42="Jarang",1,0)))))</f>
        <v>0</v>
      </c>
      <c r="R42" s="8">
        <f>IF(Responses!AQ42="","",IF(Responses!AQ42="Selalu",4,IF(Responses!AQ42="Sering",3,IF(Responses!AQ42="Kadang - Kadang",2,IF(Responses!AQ42="Jarang",1,0)))))</f>
        <v>4</v>
      </c>
      <c r="S42" s="8">
        <f>IF(Responses!AR42="","",IF(Responses!AR42="Selalu",4,IF(Responses!AR42="Sering",3,IF(Responses!AR42="Kadang - Kadang",2,IF(Responses!AR42="Jarang",1,0)))))</f>
        <v>0</v>
      </c>
      <c r="T42" s="8">
        <f>IF(Responses!AS42="","",IF(Responses!AS42="Selalu",4,IF(Responses!AS42="Sering",3,IF(Responses!AS42="Kadang - Kadang",2,IF(Responses!AS42="Jarang",1,0)))))</f>
        <v>0</v>
      </c>
      <c r="U42" s="8">
        <f>IF(Responses!AT42="","",IF(Responses!AT42="Selalu",4,IF(Responses!AT42="Sering",3,IF(Responses!AT42="Kadang - Kadang",2,IF(Responses!AT42="Jarang",1,0)))))</f>
        <v>1</v>
      </c>
      <c r="V42" s="8">
        <f>IF(Responses!AU42="","",IF(Responses!AU42="Selalu",4,IF(Responses!AU42="Sering",3,IF(Responses!AU42="Kadang - Kadang",2,IF(Responses!AU42="Jarang",1,0)))))</f>
        <v>1</v>
      </c>
      <c r="W42" s="8">
        <f>IF(Responses!AV42="","",IF(Responses!AV42="Selalu",4,IF(Responses!AV42="Sering",3,IF(Responses!AV42="Kadang - Kadang",2,IF(Responses!AV42="Jarang",1,0)))))</f>
        <v>0</v>
      </c>
      <c r="X42" s="8">
        <f>IF(Responses!AW42="","",IF(Responses!AW42="Selalu",4,IF(Responses!AW42="Sering",3,IF(Responses!AW42="Kadang - Kadang",2,IF(Responses!AW42="Jarang",1,0)))))</f>
        <v>0</v>
      </c>
      <c r="Y42" s="20">
        <f t="shared" si="2"/>
        <v>19</v>
      </c>
      <c r="Z42" s="22" t="str">
        <f t="shared" si="3"/>
        <v>Tidak/Sedikit Kecanduan</v>
      </c>
    </row>
    <row r="43" spans="1:26" ht="24" customHeight="1" x14ac:dyDescent="0.3">
      <c r="A43" s="19" t="str">
        <f>Responses!A43</f>
        <v>aO5WrRX</v>
      </c>
      <c r="B43" s="19" t="str">
        <f>Responses!B43</f>
        <v>5BlRXoP</v>
      </c>
      <c r="C43" s="19">
        <f>Responses!C43</f>
        <v>46136.097870370373</v>
      </c>
      <c r="D43" s="19" t="str">
        <f>Responses!D43</f>
        <v xml:space="preserve">Andhiera Bhara Harry Putra </v>
      </c>
      <c r="E43" s="19" t="str">
        <f>Responses!E43</f>
        <v>XI-2</v>
      </c>
      <c r="F43" s="19">
        <f>Responses!F43</f>
        <v>17</v>
      </c>
      <c r="G43" s="8">
        <f>IF(Responses!AF43="","",IF(Responses!AF43="Selalu",4,IF(Responses!AF43="Sering",3,IF(Responses!AF43="Kadang - Kadang",2,IF(Responses!AF43="Jarang",1,0)))))</f>
        <v>3</v>
      </c>
      <c r="H43" s="8">
        <f>IF(Responses!AG43="","",IF(Responses!AG43="Selalu",4,IF(Responses!AG43="Sering",3,IF(Responses!AG43="Kadang - Kadang",2,IF(Responses!AG43="Jarang",1,0)))))</f>
        <v>2</v>
      </c>
      <c r="I43" s="8">
        <f>IF(Responses!AH43="","",IF(Responses!AH43="Selalu",4,IF(Responses!AH43="Sering",3,IF(Responses!AH43="Kadang - Kadang",2,IF(Responses!AH43="Jarang",1,0)))))</f>
        <v>2</v>
      </c>
      <c r="J43" s="8">
        <f>IF(Responses!AI43="","",IF(Responses!AI43="Selalu",4,IF(Responses!AI43="Sering",3,IF(Responses!AI43="Kadang - Kadang",2,IF(Responses!AI43="Jarang",1,0)))))</f>
        <v>1</v>
      </c>
      <c r="K43" s="8">
        <f>IF(Responses!AJ43="","",IF(Responses!AJ43="Selalu",4,IF(Responses!AJ43="Sering",3,IF(Responses!AJ43="Kadang - Kadang",2,IF(Responses!AJ43="Jarang",1,0)))))</f>
        <v>2</v>
      </c>
      <c r="L43" s="8">
        <f>IF(Responses!AK43="","",IF(Responses!AK43="Selalu",4,IF(Responses!AK43="Sering",3,IF(Responses!AK43="Kadang - Kadang",2,IF(Responses!AK43="Jarang",1,0)))))</f>
        <v>1</v>
      </c>
      <c r="M43" s="8">
        <f>IF(Responses!AL43="","",IF(Responses!AL43="Selalu",4,IF(Responses!AL43="Sering",3,IF(Responses!AL43="Kadang - Kadang",2,IF(Responses!AL43="Jarang",1,0)))))</f>
        <v>1</v>
      </c>
      <c r="N43" s="8">
        <f>IF(Responses!AM43="","",IF(Responses!AM43="Selalu",4,IF(Responses!AM43="Sering",3,IF(Responses!AM43="Kadang - Kadang",2,IF(Responses!AM43="Jarang",1,0)))))</f>
        <v>0</v>
      </c>
      <c r="O43" s="8">
        <f>IF(Responses!AN43="","",IF(Responses!AN43="Selalu",4,IF(Responses!AN43="Sering",3,IF(Responses!AN43="Kadang - Kadang",2,IF(Responses!AN43="Jarang",1,0)))))</f>
        <v>4</v>
      </c>
      <c r="P43" s="8">
        <f>IF(Responses!AO43="","",IF(Responses!AO43="Selalu",4,IF(Responses!AO43="Sering",3,IF(Responses!AO43="Kadang - Kadang",2,IF(Responses!AO43="Jarang",1,0)))))</f>
        <v>1</v>
      </c>
      <c r="Q43" s="8">
        <f>IF(Responses!AP43="","",IF(Responses!AP43="Selalu",4,IF(Responses!AP43="Sering",3,IF(Responses!AP43="Kadang - Kadang",2,IF(Responses!AP43="Jarang",1,0)))))</f>
        <v>1</v>
      </c>
      <c r="R43" s="8">
        <f>IF(Responses!AQ43="","",IF(Responses!AQ43="Selalu",4,IF(Responses!AQ43="Sering",3,IF(Responses!AQ43="Kadang - Kadang",2,IF(Responses!AQ43="Jarang",1,0)))))</f>
        <v>1</v>
      </c>
      <c r="S43" s="8">
        <f>IF(Responses!AR43="","",IF(Responses!AR43="Selalu",4,IF(Responses!AR43="Sering",3,IF(Responses!AR43="Kadang - Kadang",2,IF(Responses!AR43="Jarang",1,0)))))</f>
        <v>1</v>
      </c>
      <c r="T43" s="8">
        <f>IF(Responses!AS43="","",IF(Responses!AS43="Selalu",4,IF(Responses!AS43="Sering",3,IF(Responses!AS43="Kadang - Kadang",2,IF(Responses!AS43="Jarang",1,0)))))</f>
        <v>1</v>
      </c>
      <c r="U43" s="8">
        <f>IF(Responses!AT43="","",IF(Responses!AT43="Selalu",4,IF(Responses!AT43="Sering",3,IF(Responses!AT43="Kadang - Kadang",2,IF(Responses!AT43="Jarang",1,0)))))</f>
        <v>2</v>
      </c>
      <c r="V43" s="8">
        <f>IF(Responses!AU43="","",IF(Responses!AU43="Selalu",4,IF(Responses!AU43="Sering",3,IF(Responses!AU43="Kadang - Kadang",2,IF(Responses!AU43="Jarang",1,0)))))</f>
        <v>2</v>
      </c>
      <c r="W43" s="8">
        <f>IF(Responses!AV43="","",IF(Responses!AV43="Selalu",4,IF(Responses!AV43="Sering",3,IF(Responses!AV43="Kadang - Kadang",2,IF(Responses!AV43="Jarang",1,0)))))</f>
        <v>0</v>
      </c>
      <c r="X43" s="8">
        <f>IF(Responses!AW43="","",IF(Responses!AW43="Selalu",4,IF(Responses!AW43="Sering",3,IF(Responses!AW43="Kadang - Kadang",2,IF(Responses!AW43="Jarang",1,0)))))</f>
        <v>1</v>
      </c>
      <c r="Y43" s="20">
        <f t="shared" si="2"/>
        <v>26</v>
      </c>
      <c r="Z43" s="22" t="str">
        <f t="shared" si="3"/>
        <v>Tidak/Sedikit Kecanduan</v>
      </c>
    </row>
    <row r="44" spans="1:26" ht="24" customHeight="1" x14ac:dyDescent="0.3">
      <c r="A44" s="19" t="str">
        <f>Responses!A44</f>
        <v>VpQr9Gv</v>
      </c>
      <c r="B44" s="19" t="str">
        <f>Responses!B44</f>
        <v>eqN454x</v>
      </c>
      <c r="C44" s="19">
        <f>Responses!C44</f>
        <v>46136.097905092603</v>
      </c>
      <c r="D44" s="19" t="str">
        <f>Responses!D44</f>
        <v xml:space="preserve">Lutfiya Putri Ammara </v>
      </c>
      <c r="E44" s="19" t="str">
        <f>Responses!E44</f>
        <v>XI-2</v>
      </c>
      <c r="F44" s="19">
        <f>Responses!F44</f>
        <v>16</v>
      </c>
      <c r="G44" s="8">
        <f>IF(Responses!AF44="","",IF(Responses!AF44="Selalu",4,IF(Responses!AF44="Sering",3,IF(Responses!AF44="Kadang - Kadang",2,IF(Responses!AF44="Jarang",1,0)))))</f>
        <v>3</v>
      </c>
      <c r="H44" s="8">
        <f>IF(Responses!AG44="","",IF(Responses!AG44="Selalu",4,IF(Responses!AG44="Sering",3,IF(Responses!AG44="Kadang - Kadang",2,IF(Responses!AG44="Jarang",1,0)))))</f>
        <v>2</v>
      </c>
      <c r="I44" s="8">
        <f>IF(Responses!AH44="","",IF(Responses!AH44="Selalu",4,IF(Responses!AH44="Sering",3,IF(Responses!AH44="Kadang - Kadang",2,IF(Responses!AH44="Jarang",1,0)))))</f>
        <v>0</v>
      </c>
      <c r="J44" s="8">
        <f>IF(Responses!AI44="","",IF(Responses!AI44="Selalu",4,IF(Responses!AI44="Sering",3,IF(Responses!AI44="Kadang - Kadang",2,IF(Responses!AI44="Jarang",1,0)))))</f>
        <v>1</v>
      </c>
      <c r="K44" s="8">
        <f>IF(Responses!AJ44="","",IF(Responses!AJ44="Selalu",4,IF(Responses!AJ44="Sering",3,IF(Responses!AJ44="Kadang - Kadang",2,IF(Responses!AJ44="Jarang",1,0)))))</f>
        <v>4</v>
      </c>
      <c r="L44" s="8">
        <f>IF(Responses!AK44="","",IF(Responses!AK44="Selalu",4,IF(Responses!AK44="Sering",3,IF(Responses!AK44="Kadang - Kadang",2,IF(Responses!AK44="Jarang",1,0)))))</f>
        <v>1</v>
      </c>
      <c r="M44" s="8">
        <f>IF(Responses!AL44="","",IF(Responses!AL44="Selalu",4,IF(Responses!AL44="Sering",3,IF(Responses!AL44="Kadang - Kadang",2,IF(Responses!AL44="Jarang",1,0)))))</f>
        <v>2</v>
      </c>
      <c r="N44" s="8">
        <f>IF(Responses!AM44="","",IF(Responses!AM44="Selalu",4,IF(Responses!AM44="Sering",3,IF(Responses!AM44="Kadang - Kadang",2,IF(Responses!AM44="Jarang",1,0)))))</f>
        <v>2</v>
      </c>
      <c r="O44" s="8">
        <f>IF(Responses!AN44="","",IF(Responses!AN44="Selalu",4,IF(Responses!AN44="Sering",3,IF(Responses!AN44="Kadang - Kadang",2,IF(Responses!AN44="Jarang",1,0)))))</f>
        <v>1</v>
      </c>
      <c r="P44" s="8">
        <f>IF(Responses!AO44="","",IF(Responses!AO44="Selalu",4,IF(Responses!AO44="Sering",3,IF(Responses!AO44="Kadang - Kadang",2,IF(Responses!AO44="Jarang",1,0)))))</f>
        <v>4</v>
      </c>
      <c r="Q44" s="8">
        <f>IF(Responses!AP44="","",IF(Responses!AP44="Selalu",4,IF(Responses!AP44="Sering",3,IF(Responses!AP44="Kadang - Kadang",2,IF(Responses!AP44="Jarang",1,0)))))</f>
        <v>0</v>
      </c>
      <c r="R44" s="8">
        <f>IF(Responses!AQ44="","",IF(Responses!AQ44="Selalu",4,IF(Responses!AQ44="Sering",3,IF(Responses!AQ44="Kadang - Kadang",2,IF(Responses!AQ44="Jarang",1,0)))))</f>
        <v>0</v>
      </c>
      <c r="S44" s="8">
        <f>IF(Responses!AR44="","",IF(Responses!AR44="Selalu",4,IF(Responses!AR44="Sering",3,IF(Responses!AR44="Kadang - Kadang",2,IF(Responses!AR44="Jarang",1,0)))))</f>
        <v>0</v>
      </c>
      <c r="T44" s="8">
        <f>IF(Responses!AS44="","",IF(Responses!AS44="Selalu",4,IF(Responses!AS44="Sering",3,IF(Responses!AS44="Kadang - Kadang",2,IF(Responses!AS44="Jarang",1,0)))))</f>
        <v>1</v>
      </c>
      <c r="U44" s="8">
        <f>IF(Responses!AT44="","",IF(Responses!AT44="Selalu",4,IF(Responses!AT44="Sering",3,IF(Responses!AT44="Kadang - Kadang",2,IF(Responses!AT44="Jarang",1,0)))))</f>
        <v>2</v>
      </c>
      <c r="V44" s="8">
        <f>IF(Responses!AU44="","",IF(Responses!AU44="Selalu",4,IF(Responses!AU44="Sering",3,IF(Responses!AU44="Kadang - Kadang",2,IF(Responses!AU44="Jarang",1,0)))))</f>
        <v>1</v>
      </c>
      <c r="W44" s="8">
        <f>IF(Responses!AV44="","",IF(Responses!AV44="Selalu",4,IF(Responses!AV44="Sering",3,IF(Responses!AV44="Kadang - Kadang",2,IF(Responses!AV44="Jarang",1,0)))))</f>
        <v>2</v>
      </c>
      <c r="X44" s="8">
        <f>IF(Responses!AW44="","",IF(Responses!AW44="Selalu",4,IF(Responses!AW44="Sering",3,IF(Responses!AW44="Kadang - Kadang",2,IF(Responses!AW44="Jarang",1,0)))))</f>
        <v>1</v>
      </c>
      <c r="Y44" s="20">
        <f t="shared" si="2"/>
        <v>27</v>
      </c>
      <c r="Z44" s="22" t="str">
        <f t="shared" si="3"/>
        <v>Tidak/Sedikit Kecanduan</v>
      </c>
    </row>
    <row r="45" spans="1:26" ht="24" customHeight="1" x14ac:dyDescent="0.3">
      <c r="A45" s="19" t="str">
        <f>Responses!A45</f>
        <v>5XjNlGQ</v>
      </c>
      <c r="B45" s="19" t="str">
        <f>Responses!B45</f>
        <v>vG0kMyA</v>
      </c>
      <c r="C45" s="19">
        <f>Responses!C45</f>
        <v>46136.097974537042</v>
      </c>
      <c r="D45" s="19" t="str">
        <f>Responses!D45</f>
        <v xml:space="preserve">Wildan Alfarras </v>
      </c>
      <c r="E45" s="19" t="str">
        <f>Responses!E45</f>
        <v>XI-2</v>
      </c>
      <c r="F45" s="19">
        <f>Responses!F45</f>
        <v>17</v>
      </c>
      <c r="G45" s="8">
        <f>IF(Responses!AF45="","",IF(Responses!AF45="Selalu",4,IF(Responses!AF45="Sering",3,IF(Responses!AF45="Kadang - Kadang",2,IF(Responses!AF45="Jarang",1,0)))))</f>
        <v>3</v>
      </c>
      <c r="H45" s="8">
        <f>IF(Responses!AG45="","",IF(Responses!AG45="Selalu",4,IF(Responses!AG45="Sering",3,IF(Responses!AG45="Kadang - Kadang",2,IF(Responses!AG45="Jarang",1,0)))))</f>
        <v>3</v>
      </c>
      <c r="I45" s="8">
        <f>IF(Responses!AH45="","",IF(Responses!AH45="Selalu",4,IF(Responses!AH45="Sering",3,IF(Responses!AH45="Kadang - Kadang",2,IF(Responses!AH45="Jarang",1,0)))))</f>
        <v>3</v>
      </c>
      <c r="J45" s="8">
        <f>IF(Responses!AI45="","",IF(Responses!AI45="Selalu",4,IF(Responses!AI45="Sering",3,IF(Responses!AI45="Kadang - Kadang",2,IF(Responses!AI45="Jarang",1,0)))))</f>
        <v>0</v>
      </c>
      <c r="K45" s="8">
        <f>IF(Responses!AJ45="","",IF(Responses!AJ45="Selalu",4,IF(Responses!AJ45="Sering",3,IF(Responses!AJ45="Kadang - Kadang",2,IF(Responses!AJ45="Jarang",1,0)))))</f>
        <v>1</v>
      </c>
      <c r="L45" s="8">
        <f>IF(Responses!AK45="","",IF(Responses!AK45="Selalu",4,IF(Responses!AK45="Sering",3,IF(Responses!AK45="Kadang - Kadang",2,IF(Responses!AK45="Jarang",1,0)))))</f>
        <v>2</v>
      </c>
      <c r="M45" s="8">
        <f>IF(Responses!AL45="","",IF(Responses!AL45="Selalu",4,IF(Responses!AL45="Sering",3,IF(Responses!AL45="Kadang - Kadang",2,IF(Responses!AL45="Jarang",1,0)))))</f>
        <v>2</v>
      </c>
      <c r="N45" s="8">
        <f>IF(Responses!AM45="","",IF(Responses!AM45="Selalu",4,IF(Responses!AM45="Sering",3,IF(Responses!AM45="Kadang - Kadang",2,IF(Responses!AM45="Jarang",1,0)))))</f>
        <v>1</v>
      </c>
      <c r="O45" s="8">
        <f>IF(Responses!AN45="","",IF(Responses!AN45="Selalu",4,IF(Responses!AN45="Sering",3,IF(Responses!AN45="Kadang - Kadang",2,IF(Responses!AN45="Jarang",1,0)))))</f>
        <v>1</v>
      </c>
      <c r="P45" s="8">
        <f>IF(Responses!AO45="","",IF(Responses!AO45="Selalu",4,IF(Responses!AO45="Sering",3,IF(Responses!AO45="Kadang - Kadang",2,IF(Responses!AO45="Jarang",1,0)))))</f>
        <v>1</v>
      </c>
      <c r="Q45" s="8">
        <f>IF(Responses!AP45="","",IF(Responses!AP45="Selalu",4,IF(Responses!AP45="Sering",3,IF(Responses!AP45="Kadang - Kadang",2,IF(Responses!AP45="Jarang",1,0)))))</f>
        <v>0</v>
      </c>
      <c r="R45" s="8">
        <f>IF(Responses!AQ45="","",IF(Responses!AQ45="Selalu",4,IF(Responses!AQ45="Sering",3,IF(Responses!AQ45="Kadang - Kadang",2,IF(Responses!AQ45="Jarang",1,0)))))</f>
        <v>2</v>
      </c>
      <c r="S45" s="8">
        <f>IF(Responses!AR45="","",IF(Responses!AR45="Selalu",4,IF(Responses!AR45="Sering",3,IF(Responses!AR45="Kadang - Kadang",2,IF(Responses!AR45="Jarang",1,0)))))</f>
        <v>1</v>
      </c>
      <c r="T45" s="8">
        <f>IF(Responses!AS45="","",IF(Responses!AS45="Selalu",4,IF(Responses!AS45="Sering",3,IF(Responses!AS45="Kadang - Kadang",2,IF(Responses!AS45="Jarang",1,0)))))</f>
        <v>2</v>
      </c>
      <c r="U45" s="8">
        <f>IF(Responses!AT45="","",IF(Responses!AT45="Selalu",4,IF(Responses!AT45="Sering",3,IF(Responses!AT45="Kadang - Kadang",2,IF(Responses!AT45="Jarang",1,0)))))</f>
        <v>1</v>
      </c>
      <c r="V45" s="8">
        <f>IF(Responses!AU45="","",IF(Responses!AU45="Selalu",4,IF(Responses!AU45="Sering",3,IF(Responses!AU45="Kadang - Kadang",2,IF(Responses!AU45="Jarang",1,0)))))</f>
        <v>1</v>
      </c>
      <c r="W45" s="8">
        <f>IF(Responses!AV45="","",IF(Responses!AV45="Selalu",4,IF(Responses!AV45="Sering",3,IF(Responses!AV45="Kadang - Kadang",2,IF(Responses!AV45="Jarang",1,0)))))</f>
        <v>2</v>
      </c>
      <c r="X45" s="8">
        <f>IF(Responses!AW45="","",IF(Responses!AW45="Selalu",4,IF(Responses!AW45="Sering",3,IF(Responses!AW45="Kadang - Kadang",2,IF(Responses!AW45="Jarang",1,0)))))</f>
        <v>0</v>
      </c>
      <c r="Y45" s="20">
        <f t="shared" si="2"/>
        <v>26</v>
      </c>
      <c r="Z45" s="22" t="str">
        <f t="shared" si="3"/>
        <v>Tidak/Sedikit Kecanduan</v>
      </c>
    </row>
    <row r="46" spans="1:26" x14ac:dyDescent="0.3">
      <c r="A46" s="19" t="str">
        <f>Responses!A46</f>
        <v>Eqdp8kB</v>
      </c>
      <c r="B46" s="19" t="str">
        <f>Responses!B46</f>
        <v>WOey2WP</v>
      </c>
      <c r="C46" s="19">
        <f>Responses!C46</f>
        <v>46136.098113425927</v>
      </c>
      <c r="D46" s="19" t="str">
        <f>Responses!D46</f>
        <v xml:space="preserve">Darin Raihana Lutfiyah </v>
      </c>
      <c r="E46" s="19" t="str">
        <f>Responses!E46</f>
        <v>XI-2</v>
      </c>
      <c r="F46" s="19">
        <f>Responses!F46</f>
        <v>17</v>
      </c>
      <c r="G46" s="8">
        <f>IF(Responses!AF46="","",IF(Responses!AF46="Selalu",4,IF(Responses!AF46="Sering",3,IF(Responses!AF46="Kadang - Kadang",2,IF(Responses!AF46="Jarang",1,0)))))</f>
        <v>2</v>
      </c>
      <c r="H46" s="8">
        <f>IF(Responses!AG46="","",IF(Responses!AG46="Selalu",4,IF(Responses!AG46="Sering",3,IF(Responses!AG46="Kadang - Kadang",2,IF(Responses!AG46="Jarang",1,0)))))</f>
        <v>1</v>
      </c>
      <c r="I46" s="8">
        <f>IF(Responses!AH46="","",IF(Responses!AH46="Selalu",4,IF(Responses!AH46="Sering",3,IF(Responses!AH46="Kadang - Kadang",2,IF(Responses!AH46="Jarang",1,0)))))</f>
        <v>0</v>
      </c>
      <c r="J46" s="8">
        <f>IF(Responses!AI46="","",IF(Responses!AI46="Selalu",4,IF(Responses!AI46="Sering",3,IF(Responses!AI46="Kadang - Kadang",2,IF(Responses!AI46="Jarang",1,0)))))</f>
        <v>2</v>
      </c>
      <c r="K46" s="8">
        <f>IF(Responses!AJ46="","",IF(Responses!AJ46="Selalu",4,IF(Responses!AJ46="Sering",3,IF(Responses!AJ46="Kadang - Kadang",2,IF(Responses!AJ46="Jarang",1,0)))))</f>
        <v>0</v>
      </c>
      <c r="L46" s="8">
        <f>IF(Responses!AK46="","",IF(Responses!AK46="Selalu",4,IF(Responses!AK46="Sering",3,IF(Responses!AK46="Kadang - Kadang",2,IF(Responses!AK46="Jarang",1,0)))))</f>
        <v>0</v>
      </c>
      <c r="M46" s="8">
        <f>IF(Responses!AL46="","",IF(Responses!AL46="Selalu",4,IF(Responses!AL46="Sering",3,IF(Responses!AL46="Kadang - Kadang",2,IF(Responses!AL46="Jarang",1,0)))))</f>
        <v>2</v>
      </c>
      <c r="N46" s="8">
        <f>IF(Responses!AM46="","",IF(Responses!AM46="Selalu",4,IF(Responses!AM46="Sering",3,IF(Responses!AM46="Kadang - Kadang",2,IF(Responses!AM46="Jarang",1,0)))))</f>
        <v>0</v>
      </c>
      <c r="O46" s="8">
        <f>IF(Responses!AN46="","",IF(Responses!AN46="Selalu",4,IF(Responses!AN46="Sering",3,IF(Responses!AN46="Kadang - Kadang",2,IF(Responses!AN46="Jarang",1,0)))))</f>
        <v>0</v>
      </c>
      <c r="P46" s="8">
        <f>IF(Responses!AO46="","",IF(Responses!AO46="Selalu",4,IF(Responses!AO46="Sering",3,IF(Responses!AO46="Kadang - Kadang",2,IF(Responses!AO46="Jarang",1,0)))))</f>
        <v>4</v>
      </c>
      <c r="Q46" s="8">
        <f>IF(Responses!AP46="","",IF(Responses!AP46="Selalu",4,IF(Responses!AP46="Sering",3,IF(Responses!AP46="Kadang - Kadang",2,IF(Responses!AP46="Jarang",1,0)))))</f>
        <v>1</v>
      </c>
      <c r="R46" s="8">
        <f>IF(Responses!AQ46="","",IF(Responses!AQ46="Selalu",4,IF(Responses!AQ46="Sering",3,IF(Responses!AQ46="Kadang - Kadang",2,IF(Responses!AQ46="Jarang",1,0)))))</f>
        <v>3</v>
      </c>
      <c r="S46" s="8">
        <f>IF(Responses!AR46="","",IF(Responses!AR46="Selalu",4,IF(Responses!AR46="Sering",3,IF(Responses!AR46="Kadang - Kadang",2,IF(Responses!AR46="Jarang",1,0)))))</f>
        <v>3</v>
      </c>
      <c r="T46" s="8">
        <f>IF(Responses!AS46="","",IF(Responses!AS46="Selalu",4,IF(Responses!AS46="Sering",3,IF(Responses!AS46="Kadang - Kadang",2,IF(Responses!AS46="Jarang",1,0)))))</f>
        <v>3</v>
      </c>
      <c r="U46" s="8">
        <f>IF(Responses!AT46="","",IF(Responses!AT46="Selalu",4,IF(Responses!AT46="Sering",3,IF(Responses!AT46="Kadang - Kadang",2,IF(Responses!AT46="Jarang",1,0)))))</f>
        <v>3</v>
      </c>
      <c r="V46" s="8">
        <f>IF(Responses!AU46="","",IF(Responses!AU46="Selalu",4,IF(Responses!AU46="Sering",3,IF(Responses!AU46="Kadang - Kadang",2,IF(Responses!AU46="Jarang",1,0)))))</f>
        <v>1</v>
      </c>
      <c r="W46" s="8">
        <f>IF(Responses!AV46="","",IF(Responses!AV46="Selalu",4,IF(Responses!AV46="Sering",3,IF(Responses!AV46="Kadang - Kadang",2,IF(Responses!AV46="Jarang",1,0)))))</f>
        <v>2</v>
      </c>
      <c r="X46" s="8">
        <f>IF(Responses!AW46="","",IF(Responses!AW46="Selalu",4,IF(Responses!AW46="Sering",3,IF(Responses!AW46="Kadang - Kadang",2,IF(Responses!AW46="Jarang",1,0)))))</f>
        <v>3</v>
      </c>
      <c r="Y46" s="20">
        <f t="shared" si="2"/>
        <v>30</v>
      </c>
      <c r="Z46" s="22" t="str">
        <f t="shared" si="3"/>
        <v>Kecanduan Borderline</v>
      </c>
    </row>
    <row r="47" spans="1:26" x14ac:dyDescent="0.3">
      <c r="A47" s="19" t="str">
        <f>Responses!A47</f>
        <v>je6KGzQ</v>
      </c>
      <c r="B47" s="19" t="str">
        <f>Responses!B47</f>
        <v>zx0lNJ1</v>
      </c>
      <c r="C47" s="19">
        <f>Responses!C47</f>
        <v>46136.098217592589</v>
      </c>
      <c r="D47" s="19" t="str">
        <f>Responses!D47</f>
        <v>Maishe Nasywa Zabrina</v>
      </c>
      <c r="E47" s="19" t="str">
        <f>Responses!E47</f>
        <v>XI-2</v>
      </c>
      <c r="F47" s="19">
        <f>Responses!F47</f>
        <v>17</v>
      </c>
      <c r="G47" s="8">
        <f>IF(Responses!AF47="","",IF(Responses!AF47="Selalu",4,IF(Responses!AF47="Sering",3,IF(Responses!AF47="Kadang - Kadang",2,IF(Responses!AF47="Jarang",1,0)))))</f>
        <v>2</v>
      </c>
      <c r="H47" s="8">
        <f>IF(Responses!AG47="","",IF(Responses!AG47="Selalu",4,IF(Responses!AG47="Sering",3,IF(Responses!AG47="Kadang - Kadang",2,IF(Responses!AG47="Jarang",1,0)))))</f>
        <v>1</v>
      </c>
      <c r="I47" s="8">
        <f>IF(Responses!AH47="","",IF(Responses!AH47="Selalu",4,IF(Responses!AH47="Sering",3,IF(Responses!AH47="Kadang - Kadang",2,IF(Responses!AH47="Jarang",1,0)))))</f>
        <v>1</v>
      </c>
      <c r="J47" s="8">
        <f>IF(Responses!AI47="","",IF(Responses!AI47="Selalu",4,IF(Responses!AI47="Sering",3,IF(Responses!AI47="Kadang - Kadang",2,IF(Responses!AI47="Jarang",1,0)))))</f>
        <v>1</v>
      </c>
      <c r="K47" s="8">
        <f>IF(Responses!AJ47="","",IF(Responses!AJ47="Selalu",4,IF(Responses!AJ47="Sering",3,IF(Responses!AJ47="Kadang - Kadang",2,IF(Responses!AJ47="Jarang",1,0)))))</f>
        <v>0</v>
      </c>
      <c r="L47" s="8">
        <f>IF(Responses!AK47="","",IF(Responses!AK47="Selalu",4,IF(Responses!AK47="Sering",3,IF(Responses!AK47="Kadang - Kadang",2,IF(Responses!AK47="Jarang",1,0)))))</f>
        <v>0</v>
      </c>
      <c r="M47" s="8">
        <f>IF(Responses!AL47="","",IF(Responses!AL47="Selalu",4,IF(Responses!AL47="Sering",3,IF(Responses!AL47="Kadang - Kadang",2,IF(Responses!AL47="Jarang",1,0)))))</f>
        <v>1</v>
      </c>
      <c r="N47" s="8">
        <f>IF(Responses!AM47="","",IF(Responses!AM47="Selalu",4,IF(Responses!AM47="Sering",3,IF(Responses!AM47="Kadang - Kadang",2,IF(Responses!AM47="Jarang",1,0)))))</f>
        <v>0</v>
      </c>
      <c r="O47" s="8">
        <f>IF(Responses!AN47="","",IF(Responses!AN47="Selalu",4,IF(Responses!AN47="Sering",3,IF(Responses!AN47="Kadang - Kadang",2,IF(Responses!AN47="Jarang",1,0)))))</f>
        <v>0</v>
      </c>
      <c r="P47" s="8">
        <f>IF(Responses!AO47="","",IF(Responses!AO47="Selalu",4,IF(Responses!AO47="Sering",3,IF(Responses!AO47="Kadang - Kadang",2,IF(Responses!AO47="Jarang",1,0)))))</f>
        <v>4</v>
      </c>
      <c r="Q47" s="8">
        <f>IF(Responses!AP47="","",IF(Responses!AP47="Selalu",4,IF(Responses!AP47="Sering",3,IF(Responses!AP47="Kadang - Kadang",2,IF(Responses!AP47="Jarang",1,0)))))</f>
        <v>1</v>
      </c>
      <c r="R47" s="8">
        <f>IF(Responses!AQ47="","",IF(Responses!AQ47="Selalu",4,IF(Responses!AQ47="Sering",3,IF(Responses!AQ47="Kadang - Kadang",2,IF(Responses!AQ47="Jarang",1,0)))))</f>
        <v>3</v>
      </c>
      <c r="S47" s="8">
        <f>IF(Responses!AR47="","",IF(Responses!AR47="Selalu",4,IF(Responses!AR47="Sering",3,IF(Responses!AR47="Kadang - Kadang",2,IF(Responses!AR47="Jarang",1,0)))))</f>
        <v>3</v>
      </c>
      <c r="T47" s="8">
        <f>IF(Responses!AS47="","",IF(Responses!AS47="Selalu",4,IF(Responses!AS47="Sering",3,IF(Responses!AS47="Kadang - Kadang",2,IF(Responses!AS47="Jarang",1,0)))))</f>
        <v>3</v>
      </c>
      <c r="U47" s="8">
        <f>IF(Responses!AT47="","",IF(Responses!AT47="Selalu",4,IF(Responses!AT47="Sering",3,IF(Responses!AT47="Kadang - Kadang",2,IF(Responses!AT47="Jarang",1,0)))))</f>
        <v>3</v>
      </c>
      <c r="V47" s="8">
        <f>IF(Responses!AU47="","",IF(Responses!AU47="Selalu",4,IF(Responses!AU47="Sering",3,IF(Responses!AU47="Kadang - Kadang",2,IF(Responses!AU47="Jarang",1,0)))))</f>
        <v>1</v>
      </c>
      <c r="W47" s="8">
        <f>IF(Responses!AV47="","",IF(Responses!AV47="Selalu",4,IF(Responses!AV47="Sering",3,IF(Responses!AV47="Kadang - Kadang",2,IF(Responses!AV47="Jarang",1,0)))))</f>
        <v>2</v>
      </c>
      <c r="X47" s="8">
        <f>IF(Responses!AW47="","",IF(Responses!AW47="Selalu",4,IF(Responses!AW47="Sering",3,IF(Responses!AW47="Kadang - Kadang",2,IF(Responses!AW47="Jarang",1,0)))))</f>
        <v>4</v>
      </c>
      <c r="Y47" s="20">
        <f t="shared" si="2"/>
        <v>30</v>
      </c>
      <c r="Z47" s="22" t="str">
        <f t="shared" si="3"/>
        <v>Kecanduan Borderline</v>
      </c>
    </row>
    <row r="48" spans="1:26" x14ac:dyDescent="0.3">
      <c r="A48" s="19" t="str">
        <f>Responses!A48</f>
        <v>Eqdp8jL</v>
      </c>
      <c r="B48" s="19" t="str">
        <f>Responses!B48</f>
        <v>ZjG0obo</v>
      </c>
      <c r="C48" s="19">
        <f>Responses!C48</f>
        <v>46136.098310185182</v>
      </c>
      <c r="D48" s="19" t="str">
        <f>Responses!D48</f>
        <v>sabrina maryam</v>
      </c>
      <c r="E48" s="19" t="str">
        <f>Responses!E48</f>
        <v>XI-2</v>
      </c>
      <c r="F48" s="19">
        <f>Responses!F48</f>
        <v>17</v>
      </c>
      <c r="G48" s="8">
        <f>IF(Responses!AF48="","",IF(Responses!AF48="Selalu",4,IF(Responses!AF48="Sering",3,IF(Responses!AF48="Kadang - Kadang",2,IF(Responses!AF48="Jarang",1,0)))))</f>
        <v>2</v>
      </c>
      <c r="H48" s="8">
        <f>IF(Responses!AG48="","",IF(Responses!AG48="Selalu",4,IF(Responses!AG48="Sering",3,IF(Responses!AG48="Kadang - Kadang",2,IF(Responses!AG48="Jarang",1,0)))))</f>
        <v>2</v>
      </c>
      <c r="I48" s="8">
        <f>IF(Responses!AH48="","",IF(Responses!AH48="Selalu",4,IF(Responses!AH48="Sering",3,IF(Responses!AH48="Kadang - Kadang",2,IF(Responses!AH48="Jarang",1,0)))))</f>
        <v>2</v>
      </c>
      <c r="J48" s="8">
        <f>IF(Responses!AI48="","",IF(Responses!AI48="Selalu",4,IF(Responses!AI48="Sering",3,IF(Responses!AI48="Kadang - Kadang",2,IF(Responses!AI48="Jarang",1,0)))))</f>
        <v>3</v>
      </c>
      <c r="K48" s="8">
        <f>IF(Responses!AJ48="","",IF(Responses!AJ48="Selalu",4,IF(Responses!AJ48="Sering",3,IF(Responses!AJ48="Kadang - Kadang",2,IF(Responses!AJ48="Jarang",1,0)))))</f>
        <v>0</v>
      </c>
      <c r="L48" s="8">
        <f>IF(Responses!AK48="","",IF(Responses!AK48="Selalu",4,IF(Responses!AK48="Sering",3,IF(Responses!AK48="Kadang - Kadang",2,IF(Responses!AK48="Jarang",1,0)))))</f>
        <v>0</v>
      </c>
      <c r="M48" s="8">
        <f>IF(Responses!AL48="","",IF(Responses!AL48="Selalu",4,IF(Responses!AL48="Sering",3,IF(Responses!AL48="Kadang - Kadang",2,IF(Responses!AL48="Jarang",1,0)))))</f>
        <v>2</v>
      </c>
      <c r="N48" s="8">
        <f>IF(Responses!AM48="","",IF(Responses!AM48="Selalu",4,IF(Responses!AM48="Sering",3,IF(Responses!AM48="Kadang - Kadang",2,IF(Responses!AM48="Jarang",1,0)))))</f>
        <v>4</v>
      </c>
      <c r="O48" s="8">
        <f>IF(Responses!AN48="","",IF(Responses!AN48="Selalu",4,IF(Responses!AN48="Sering",3,IF(Responses!AN48="Kadang - Kadang",2,IF(Responses!AN48="Jarang",1,0)))))</f>
        <v>1</v>
      </c>
      <c r="P48" s="8">
        <f>IF(Responses!AO48="","",IF(Responses!AO48="Selalu",4,IF(Responses!AO48="Sering",3,IF(Responses!AO48="Kadang - Kadang",2,IF(Responses!AO48="Jarang",1,0)))))</f>
        <v>1</v>
      </c>
      <c r="Q48" s="8">
        <f>IF(Responses!AP48="","",IF(Responses!AP48="Selalu",4,IF(Responses!AP48="Sering",3,IF(Responses!AP48="Kadang - Kadang",2,IF(Responses!AP48="Jarang",1,0)))))</f>
        <v>2</v>
      </c>
      <c r="R48" s="8">
        <f>IF(Responses!AQ48="","",IF(Responses!AQ48="Selalu",4,IF(Responses!AQ48="Sering",3,IF(Responses!AQ48="Kadang - Kadang",2,IF(Responses!AQ48="Jarang",1,0)))))</f>
        <v>2</v>
      </c>
      <c r="S48" s="8">
        <f>IF(Responses!AR48="","",IF(Responses!AR48="Selalu",4,IF(Responses!AR48="Sering",3,IF(Responses!AR48="Kadang - Kadang",2,IF(Responses!AR48="Jarang",1,0)))))</f>
        <v>2</v>
      </c>
      <c r="T48" s="8">
        <f>IF(Responses!AS48="","",IF(Responses!AS48="Selalu",4,IF(Responses!AS48="Sering",3,IF(Responses!AS48="Kadang - Kadang",2,IF(Responses!AS48="Jarang",1,0)))))</f>
        <v>2</v>
      </c>
      <c r="U48" s="8">
        <f>IF(Responses!AT48="","",IF(Responses!AT48="Selalu",4,IF(Responses!AT48="Sering",3,IF(Responses!AT48="Kadang - Kadang",2,IF(Responses!AT48="Jarang",1,0)))))</f>
        <v>2</v>
      </c>
      <c r="V48" s="8">
        <f>IF(Responses!AU48="","",IF(Responses!AU48="Selalu",4,IF(Responses!AU48="Sering",3,IF(Responses!AU48="Kadang - Kadang",2,IF(Responses!AU48="Jarang",1,0)))))</f>
        <v>2</v>
      </c>
      <c r="W48" s="8">
        <f>IF(Responses!AV48="","",IF(Responses!AV48="Selalu",4,IF(Responses!AV48="Sering",3,IF(Responses!AV48="Kadang - Kadang",2,IF(Responses!AV48="Jarang",1,0)))))</f>
        <v>1</v>
      </c>
      <c r="X48" s="8">
        <f>IF(Responses!AW48="","",IF(Responses!AW48="Selalu",4,IF(Responses!AW48="Sering",3,IF(Responses!AW48="Kadang - Kadang",2,IF(Responses!AW48="Jarang",1,0)))))</f>
        <v>0</v>
      </c>
      <c r="Y48" s="20">
        <f t="shared" si="2"/>
        <v>30</v>
      </c>
      <c r="Z48" s="22" t="str">
        <f t="shared" si="3"/>
        <v>Kecanduan Borderline</v>
      </c>
    </row>
    <row r="49" spans="1:26" x14ac:dyDescent="0.3">
      <c r="A49" s="19" t="str">
        <f>Responses!A49</f>
        <v>yX2Ojq4</v>
      </c>
      <c r="B49" s="19" t="str">
        <f>Responses!B49</f>
        <v>7RJGLNa</v>
      </c>
      <c r="C49" s="19">
        <f>Responses!C49</f>
        <v>46136.098391203697</v>
      </c>
      <c r="D49" s="19" t="str">
        <f>Responses!D49</f>
        <v>Dzakia Nayla</v>
      </c>
      <c r="E49" s="19" t="str">
        <f>Responses!E49</f>
        <v>XI-2</v>
      </c>
      <c r="F49" s="19">
        <f>Responses!F49</f>
        <v>16</v>
      </c>
      <c r="G49" s="8">
        <f>IF(Responses!AF49="","",IF(Responses!AF49="Selalu",4,IF(Responses!AF49="Sering",3,IF(Responses!AF49="Kadang - Kadang",2,IF(Responses!AF49="Jarang",1,0)))))</f>
        <v>2</v>
      </c>
      <c r="H49" s="8">
        <f>IF(Responses!AG49="","",IF(Responses!AG49="Selalu",4,IF(Responses!AG49="Sering",3,IF(Responses!AG49="Kadang - Kadang",2,IF(Responses!AG49="Jarang",1,0)))))</f>
        <v>2</v>
      </c>
      <c r="I49" s="8">
        <f>IF(Responses!AH49="","",IF(Responses!AH49="Selalu",4,IF(Responses!AH49="Sering",3,IF(Responses!AH49="Kadang - Kadang",2,IF(Responses!AH49="Jarang",1,0)))))</f>
        <v>2</v>
      </c>
      <c r="J49" s="8">
        <f>IF(Responses!AI49="","",IF(Responses!AI49="Selalu",4,IF(Responses!AI49="Sering",3,IF(Responses!AI49="Kadang - Kadang",2,IF(Responses!AI49="Jarang",1,0)))))</f>
        <v>2</v>
      </c>
      <c r="K49" s="8">
        <f>IF(Responses!AJ49="","",IF(Responses!AJ49="Selalu",4,IF(Responses!AJ49="Sering",3,IF(Responses!AJ49="Kadang - Kadang",2,IF(Responses!AJ49="Jarang",1,0)))))</f>
        <v>3</v>
      </c>
      <c r="L49" s="8">
        <f>IF(Responses!AK49="","",IF(Responses!AK49="Selalu",4,IF(Responses!AK49="Sering",3,IF(Responses!AK49="Kadang - Kadang",2,IF(Responses!AK49="Jarang",1,0)))))</f>
        <v>2</v>
      </c>
      <c r="M49" s="8">
        <f>IF(Responses!AL49="","",IF(Responses!AL49="Selalu",4,IF(Responses!AL49="Sering",3,IF(Responses!AL49="Kadang - Kadang",2,IF(Responses!AL49="Jarang",1,0)))))</f>
        <v>3</v>
      </c>
      <c r="N49" s="8">
        <f>IF(Responses!AM49="","",IF(Responses!AM49="Selalu",4,IF(Responses!AM49="Sering",3,IF(Responses!AM49="Kadang - Kadang",2,IF(Responses!AM49="Jarang",1,0)))))</f>
        <v>3</v>
      </c>
      <c r="O49" s="8">
        <f>IF(Responses!AN49="","",IF(Responses!AN49="Selalu",4,IF(Responses!AN49="Sering",3,IF(Responses!AN49="Kadang - Kadang",2,IF(Responses!AN49="Jarang",1,0)))))</f>
        <v>1</v>
      </c>
      <c r="P49" s="8">
        <f>IF(Responses!AO49="","",IF(Responses!AO49="Selalu",4,IF(Responses!AO49="Sering",3,IF(Responses!AO49="Kadang - Kadang",2,IF(Responses!AO49="Jarang",1,0)))))</f>
        <v>3</v>
      </c>
      <c r="Q49" s="8">
        <f>IF(Responses!AP49="","",IF(Responses!AP49="Selalu",4,IF(Responses!AP49="Sering",3,IF(Responses!AP49="Kadang - Kadang",2,IF(Responses!AP49="Jarang",1,0)))))</f>
        <v>2</v>
      </c>
      <c r="R49" s="8">
        <f>IF(Responses!AQ49="","",IF(Responses!AQ49="Selalu",4,IF(Responses!AQ49="Sering",3,IF(Responses!AQ49="Kadang - Kadang",2,IF(Responses!AQ49="Jarang",1,0)))))</f>
        <v>2</v>
      </c>
      <c r="S49" s="8">
        <f>IF(Responses!AR49="","",IF(Responses!AR49="Selalu",4,IF(Responses!AR49="Sering",3,IF(Responses!AR49="Kadang - Kadang",2,IF(Responses!AR49="Jarang",1,0)))))</f>
        <v>2</v>
      </c>
      <c r="T49" s="8">
        <f>IF(Responses!AS49="","",IF(Responses!AS49="Selalu",4,IF(Responses!AS49="Sering",3,IF(Responses!AS49="Kadang - Kadang",2,IF(Responses!AS49="Jarang",1,0)))))</f>
        <v>2</v>
      </c>
      <c r="U49" s="8">
        <f>IF(Responses!AT49="","",IF(Responses!AT49="Selalu",4,IF(Responses!AT49="Sering",3,IF(Responses!AT49="Kadang - Kadang",2,IF(Responses!AT49="Jarang",1,0)))))</f>
        <v>3</v>
      </c>
      <c r="V49" s="8">
        <f>IF(Responses!AU49="","",IF(Responses!AU49="Selalu",4,IF(Responses!AU49="Sering",3,IF(Responses!AU49="Kadang - Kadang",2,IF(Responses!AU49="Jarang",1,0)))))</f>
        <v>1</v>
      </c>
      <c r="W49" s="8">
        <f>IF(Responses!AV49="","",IF(Responses!AV49="Selalu",4,IF(Responses!AV49="Sering",3,IF(Responses!AV49="Kadang - Kadang",2,IF(Responses!AV49="Jarang",1,0)))))</f>
        <v>2</v>
      </c>
      <c r="X49" s="8">
        <f>IF(Responses!AW49="","",IF(Responses!AW49="Selalu",4,IF(Responses!AW49="Sering",3,IF(Responses!AW49="Kadang - Kadang",2,IF(Responses!AW49="Jarang",1,0)))))</f>
        <v>2</v>
      </c>
      <c r="Y49" s="20">
        <f t="shared" si="2"/>
        <v>39</v>
      </c>
      <c r="Z49" s="22" t="str">
        <f t="shared" si="3"/>
        <v>Kecanduan Borderline</v>
      </c>
    </row>
    <row r="50" spans="1:26" ht="24" customHeight="1" x14ac:dyDescent="0.3">
      <c r="A50" s="19" t="str">
        <f>Responses!A50</f>
        <v>xVMGRbk</v>
      </c>
      <c r="B50" s="19" t="str">
        <f>Responses!B50</f>
        <v>XxRXo2j</v>
      </c>
      <c r="C50" s="19">
        <f>Responses!C50</f>
        <v>46136.098692129628</v>
      </c>
      <c r="D50" s="19" t="str">
        <f>Responses!D50</f>
        <v>Julia Ayuni</v>
      </c>
      <c r="E50" s="19" t="str">
        <f>Responses!E50</f>
        <v>XI-2</v>
      </c>
      <c r="F50" s="19">
        <f>Responses!F50</f>
        <v>17</v>
      </c>
      <c r="G50" s="8">
        <f>IF(Responses!AF50="","",IF(Responses!AF50="Selalu",4,IF(Responses!AF50="Sering",3,IF(Responses!AF50="Kadang - Kadang",2,IF(Responses!AF50="Jarang",1,0)))))</f>
        <v>2</v>
      </c>
      <c r="H50" s="8">
        <f>IF(Responses!AG50="","",IF(Responses!AG50="Selalu",4,IF(Responses!AG50="Sering",3,IF(Responses!AG50="Kadang - Kadang",2,IF(Responses!AG50="Jarang",1,0)))))</f>
        <v>1</v>
      </c>
      <c r="I50" s="8">
        <f>IF(Responses!AH50="","",IF(Responses!AH50="Selalu",4,IF(Responses!AH50="Sering",3,IF(Responses!AH50="Kadang - Kadang",2,IF(Responses!AH50="Jarang",1,0)))))</f>
        <v>2</v>
      </c>
      <c r="J50" s="8">
        <f>IF(Responses!AI50="","",IF(Responses!AI50="Selalu",4,IF(Responses!AI50="Sering",3,IF(Responses!AI50="Kadang - Kadang",2,IF(Responses!AI50="Jarang",1,0)))))</f>
        <v>1</v>
      </c>
      <c r="K50" s="8">
        <f>IF(Responses!AJ50="","",IF(Responses!AJ50="Selalu",4,IF(Responses!AJ50="Sering",3,IF(Responses!AJ50="Kadang - Kadang",2,IF(Responses!AJ50="Jarang",1,0)))))</f>
        <v>0</v>
      </c>
      <c r="L50" s="8">
        <f>IF(Responses!AK50="","",IF(Responses!AK50="Selalu",4,IF(Responses!AK50="Sering",3,IF(Responses!AK50="Kadang - Kadang",2,IF(Responses!AK50="Jarang",1,0)))))</f>
        <v>0</v>
      </c>
      <c r="M50" s="8">
        <f>IF(Responses!AL50="","",IF(Responses!AL50="Selalu",4,IF(Responses!AL50="Sering",3,IF(Responses!AL50="Kadang - Kadang",2,IF(Responses!AL50="Jarang",1,0)))))</f>
        <v>1</v>
      </c>
      <c r="N50" s="8">
        <f>IF(Responses!AM50="","",IF(Responses!AM50="Selalu",4,IF(Responses!AM50="Sering",3,IF(Responses!AM50="Kadang - Kadang",2,IF(Responses!AM50="Jarang",1,0)))))</f>
        <v>1</v>
      </c>
      <c r="O50" s="8">
        <f>IF(Responses!AN50="","",IF(Responses!AN50="Selalu",4,IF(Responses!AN50="Sering",3,IF(Responses!AN50="Kadang - Kadang",2,IF(Responses!AN50="Jarang",1,0)))))</f>
        <v>1</v>
      </c>
      <c r="P50" s="8">
        <f>IF(Responses!AO50="","",IF(Responses!AO50="Selalu",4,IF(Responses!AO50="Sering",3,IF(Responses!AO50="Kadang - Kadang",2,IF(Responses!AO50="Jarang",1,0)))))</f>
        <v>2</v>
      </c>
      <c r="Q50" s="8">
        <f>IF(Responses!AP50="","",IF(Responses!AP50="Selalu",4,IF(Responses!AP50="Sering",3,IF(Responses!AP50="Kadang - Kadang",2,IF(Responses!AP50="Jarang",1,0)))))</f>
        <v>1</v>
      </c>
      <c r="R50" s="8">
        <f>IF(Responses!AQ50="","",IF(Responses!AQ50="Selalu",4,IF(Responses!AQ50="Sering",3,IF(Responses!AQ50="Kadang - Kadang",2,IF(Responses!AQ50="Jarang",1,0)))))</f>
        <v>2</v>
      </c>
      <c r="S50" s="8">
        <f>IF(Responses!AR50="","",IF(Responses!AR50="Selalu",4,IF(Responses!AR50="Sering",3,IF(Responses!AR50="Kadang - Kadang",2,IF(Responses!AR50="Jarang",1,0)))))</f>
        <v>2</v>
      </c>
      <c r="T50" s="8">
        <f>IF(Responses!AS50="","",IF(Responses!AS50="Selalu",4,IF(Responses!AS50="Sering",3,IF(Responses!AS50="Kadang - Kadang",2,IF(Responses!AS50="Jarang",1,0)))))</f>
        <v>1</v>
      </c>
      <c r="U50" s="8">
        <f>IF(Responses!AT50="","",IF(Responses!AT50="Selalu",4,IF(Responses!AT50="Sering",3,IF(Responses!AT50="Kadang - Kadang",2,IF(Responses!AT50="Jarang",1,0)))))</f>
        <v>1</v>
      </c>
      <c r="V50" s="8">
        <f>IF(Responses!AU50="","",IF(Responses!AU50="Selalu",4,IF(Responses!AU50="Sering",3,IF(Responses!AU50="Kadang - Kadang",2,IF(Responses!AU50="Jarang",1,0)))))</f>
        <v>1</v>
      </c>
      <c r="W50" s="8">
        <f>IF(Responses!AV50="","",IF(Responses!AV50="Selalu",4,IF(Responses!AV50="Sering",3,IF(Responses!AV50="Kadang - Kadang",2,IF(Responses!AV50="Jarang",1,0)))))</f>
        <v>1</v>
      </c>
      <c r="X50" s="8">
        <f>IF(Responses!AW50="","",IF(Responses!AW50="Selalu",4,IF(Responses!AW50="Sering",3,IF(Responses!AW50="Kadang - Kadang",2,IF(Responses!AW50="Jarang",1,0)))))</f>
        <v>0</v>
      </c>
      <c r="Y50" s="20">
        <f t="shared" si="2"/>
        <v>20</v>
      </c>
      <c r="Z50" s="22" t="str">
        <f t="shared" si="3"/>
        <v>Tidak/Sedikit Kecanduan</v>
      </c>
    </row>
    <row r="51" spans="1:26" ht="24" customHeight="1" x14ac:dyDescent="0.3">
      <c r="A51" s="19" t="str">
        <f>Responses!A51</f>
        <v>yX2OdE8</v>
      </c>
      <c r="B51" s="19" t="str">
        <f>Responses!B51</f>
        <v>J9V7Od4</v>
      </c>
      <c r="C51" s="19">
        <f>Responses!C51</f>
        <v>46136.098819444444</v>
      </c>
      <c r="D51" s="19" t="str">
        <f>Responses!D51</f>
        <v xml:space="preserve">Briliana Okta Himawari </v>
      </c>
      <c r="E51" s="19" t="str">
        <f>Responses!E51</f>
        <v>XI-2</v>
      </c>
      <c r="F51" s="19">
        <f>Responses!F51</f>
        <v>17</v>
      </c>
      <c r="G51" s="8">
        <f>IF(Responses!AF51="","",IF(Responses!AF51="Selalu",4,IF(Responses!AF51="Sering",3,IF(Responses!AF51="Kadang - Kadang",2,IF(Responses!AF51="Jarang",1,0)))))</f>
        <v>2</v>
      </c>
      <c r="H51" s="8">
        <f>IF(Responses!AG51="","",IF(Responses!AG51="Selalu",4,IF(Responses!AG51="Sering",3,IF(Responses!AG51="Kadang - Kadang",2,IF(Responses!AG51="Jarang",1,0)))))</f>
        <v>1</v>
      </c>
      <c r="I51" s="8">
        <f>IF(Responses!AH51="","",IF(Responses!AH51="Selalu",4,IF(Responses!AH51="Sering",3,IF(Responses!AH51="Kadang - Kadang",2,IF(Responses!AH51="Jarang",1,0)))))</f>
        <v>1</v>
      </c>
      <c r="J51" s="8">
        <f>IF(Responses!AI51="","",IF(Responses!AI51="Selalu",4,IF(Responses!AI51="Sering",3,IF(Responses!AI51="Kadang - Kadang",2,IF(Responses!AI51="Jarang",1,0)))))</f>
        <v>0</v>
      </c>
      <c r="K51" s="8">
        <f>IF(Responses!AJ51="","",IF(Responses!AJ51="Selalu",4,IF(Responses!AJ51="Sering",3,IF(Responses!AJ51="Kadang - Kadang",2,IF(Responses!AJ51="Jarang",1,0)))))</f>
        <v>3</v>
      </c>
      <c r="L51" s="8">
        <f>IF(Responses!AK51="","",IF(Responses!AK51="Selalu",4,IF(Responses!AK51="Sering",3,IF(Responses!AK51="Kadang - Kadang",2,IF(Responses!AK51="Jarang",1,0)))))</f>
        <v>1</v>
      </c>
      <c r="M51" s="8">
        <f>IF(Responses!AL51="","",IF(Responses!AL51="Selalu",4,IF(Responses!AL51="Sering",3,IF(Responses!AL51="Kadang - Kadang",2,IF(Responses!AL51="Jarang",1,0)))))</f>
        <v>1</v>
      </c>
      <c r="N51" s="8">
        <f>IF(Responses!AM51="","",IF(Responses!AM51="Selalu",4,IF(Responses!AM51="Sering",3,IF(Responses!AM51="Kadang - Kadang",2,IF(Responses!AM51="Jarang",1,0)))))</f>
        <v>1</v>
      </c>
      <c r="O51" s="8">
        <f>IF(Responses!AN51="","",IF(Responses!AN51="Selalu",4,IF(Responses!AN51="Sering",3,IF(Responses!AN51="Kadang - Kadang",2,IF(Responses!AN51="Jarang",1,0)))))</f>
        <v>1</v>
      </c>
      <c r="P51" s="8">
        <f>IF(Responses!AO51="","",IF(Responses!AO51="Selalu",4,IF(Responses!AO51="Sering",3,IF(Responses!AO51="Kadang - Kadang",2,IF(Responses!AO51="Jarang",1,0)))))</f>
        <v>3</v>
      </c>
      <c r="Q51" s="8">
        <f>IF(Responses!AP51="","",IF(Responses!AP51="Selalu",4,IF(Responses!AP51="Sering",3,IF(Responses!AP51="Kadang - Kadang",2,IF(Responses!AP51="Jarang",1,0)))))</f>
        <v>0</v>
      </c>
      <c r="R51" s="8">
        <f>IF(Responses!AQ51="","",IF(Responses!AQ51="Selalu",4,IF(Responses!AQ51="Sering",3,IF(Responses!AQ51="Kadang - Kadang",2,IF(Responses!AQ51="Jarang",1,0)))))</f>
        <v>2</v>
      </c>
      <c r="S51" s="8">
        <f>IF(Responses!AR51="","",IF(Responses!AR51="Selalu",4,IF(Responses!AR51="Sering",3,IF(Responses!AR51="Kadang - Kadang",2,IF(Responses!AR51="Jarang",1,0)))))</f>
        <v>1</v>
      </c>
      <c r="T51" s="8">
        <f>IF(Responses!AS51="","",IF(Responses!AS51="Selalu",4,IF(Responses!AS51="Sering",3,IF(Responses!AS51="Kadang - Kadang",2,IF(Responses!AS51="Jarang",1,0)))))</f>
        <v>2</v>
      </c>
      <c r="U51" s="8">
        <f>IF(Responses!AT51="","",IF(Responses!AT51="Selalu",4,IF(Responses!AT51="Sering",3,IF(Responses!AT51="Kadang - Kadang",2,IF(Responses!AT51="Jarang",1,0)))))</f>
        <v>1</v>
      </c>
      <c r="V51" s="8">
        <f>IF(Responses!AU51="","",IF(Responses!AU51="Selalu",4,IF(Responses!AU51="Sering",3,IF(Responses!AU51="Kadang - Kadang",2,IF(Responses!AU51="Jarang",1,0)))))</f>
        <v>1</v>
      </c>
      <c r="W51" s="8">
        <f>IF(Responses!AV51="","",IF(Responses!AV51="Selalu",4,IF(Responses!AV51="Sering",3,IF(Responses!AV51="Kadang - Kadang",2,IF(Responses!AV51="Jarang",1,0)))))</f>
        <v>0</v>
      </c>
      <c r="X51" s="8">
        <f>IF(Responses!AW51="","",IF(Responses!AW51="Selalu",4,IF(Responses!AW51="Sering",3,IF(Responses!AW51="Kadang - Kadang",2,IF(Responses!AW51="Jarang",1,0)))))</f>
        <v>0</v>
      </c>
      <c r="Y51" s="20">
        <f t="shared" si="2"/>
        <v>21</v>
      </c>
      <c r="Z51" s="22" t="str">
        <f t="shared" si="3"/>
        <v>Tidak/Sedikit Kecanduan</v>
      </c>
    </row>
    <row r="52" spans="1:26" ht="24" customHeight="1" x14ac:dyDescent="0.3">
      <c r="A52" s="19" t="str">
        <f>Responses!A52</f>
        <v>Ge9MQV2</v>
      </c>
      <c r="B52" s="19" t="str">
        <f>Responses!B52</f>
        <v>pb0aDR1</v>
      </c>
      <c r="C52" s="19">
        <f>Responses!C52</f>
        <v>46136.098900462966</v>
      </c>
      <c r="D52" s="19" t="str">
        <f>Responses!D52</f>
        <v>Hafizh Al Hakim</v>
      </c>
      <c r="E52" s="19" t="str">
        <f>Responses!E52</f>
        <v>XI-3</v>
      </c>
      <c r="F52" s="19">
        <f>Responses!F52</f>
        <v>17</v>
      </c>
      <c r="G52" s="8">
        <f>IF(Responses!AF52="","",IF(Responses!AF52="Selalu",4,IF(Responses!AF52="Sering",3,IF(Responses!AF52="Kadang - Kadang",2,IF(Responses!AF52="Jarang",1,0)))))</f>
        <v>3</v>
      </c>
      <c r="H52" s="8">
        <f>IF(Responses!AG52="","",IF(Responses!AG52="Selalu",4,IF(Responses!AG52="Sering",3,IF(Responses!AG52="Kadang - Kadang",2,IF(Responses!AG52="Jarang",1,0)))))</f>
        <v>2</v>
      </c>
      <c r="I52" s="8">
        <f>IF(Responses!AH52="","",IF(Responses!AH52="Selalu",4,IF(Responses!AH52="Sering",3,IF(Responses!AH52="Kadang - Kadang",2,IF(Responses!AH52="Jarang",1,0)))))</f>
        <v>2</v>
      </c>
      <c r="J52" s="8">
        <f>IF(Responses!AI52="","",IF(Responses!AI52="Selalu",4,IF(Responses!AI52="Sering",3,IF(Responses!AI52="Kadang - Kadang",2,IF(Responses!AI52="Jarang",1,0)))))</f>
        <v>2</v>
      </c>
      <c r="K52" s="8">
        <f>IF(Responses!AJ52="","",IF(Responses!AJ52="Selalu",4,IF(Responses!AJ52="Sering",3,IF(Responses!AJ52="Kadang - Kadang",2,IF(Responses!AJ52="Jarang",1,0)))))</f>
        <v>3</v>
      </c>
      <c r="L52" s="8">
        <f>IF(Responses!AK52="","",IF(Responses!AK52="Selalu",4,IF(Responses!AK52="Sering",3,IF(Responses!AK52="Kadang - Kadang",2,IF(Responses!AK52="Jarang",1,0)))))</f>
        <v>1</v>
      </c>
      <c r="M52" s="8">
        <f>IF(Responses!AL52="","",IF(Responses!AL52="Selalu",4,IF(Responses!AL52="Sering",3,IF(Responses!AL52="Kadang - Kadang",2,IF(Responses!AL52="Jarang",1,0)))))</f>
        <v>2</v>
      </c>
      <c r="N52" s="8">
        <f>IF(Responses!AM52="","",IF(Responses!AM52="Selalu",4,IF(Responses!AM52="Sering",3,IF(Responses!AM52="Kadang - Kadang",2,IF(Responses!AM52="Jarang",1,0)))))</f>
        <v>3</v>
      </c>
      <c r="O52" s="8">
        <f>IF(Responses!AN52="","",IF(Responses!AN52="Selalu",4,IF(Responses!AN52="Sering",3,IF(Responses!AN52="Kadang - Kadang",2,IF(Responses!AN52="Jarang",1,0)))))</f>
        <v>2</v>
      </c>
      <c r="P52" s="8">
        <f>IF(Responses!AO52="","",IF(Responses!AO52="Selalu",4,IF(Responses!AO52="Sering",3,IF(Responses!AO52="Kadang - Kadang",2,IF(Responses!AO52="Jarang",1,0)))))</f>
        <v>4</v>
      </c>
      <c r="Q52" s="8">
        <f>IF(Responses!AP52="","",IF(Responses!AP52="Selalu",4,IF(Responses!AP52="Sering",3,IF(Responses!AP52="Kadang - Kadang",2,IF(Responses!AP52="Jarang",1,0)))))</f>
        <v>1</v>
      </c>
      <c r="R52" s="8">
        <f>IF(Responses!AQ52="","",IF(Responses!AQ52="Selalu",4,IF(Responses!AQ52="Sering",3,IF(Responses!AQ52="Kadang - Kadang",2,IF(Responses!AQ52="Jarang",1,0)))))</f>
        <v>2</v>
      </c>
      <c r="S52" s="8">
        <f>IF(Responses!AR52="","",IF(Responses!AR52="Selalu",4,IF(Responses!AR52="Sering",3,IF(Responses!AR52="Kadang - Kadang",2,IF(Responses!AR52="Jarang",1,0)))))</f>
        <v>2</v>
      </c>
      <c r="T52" s="8">
        <f>IF(Responses!AS52="","",IF(Responses!AS52="Selalu",4,IF(Responses!AS52="Sering",3,IF(Responses!AS52="Kadang - Kadang",2,IF(Responses!AS52="Jarang",1,0)))))</f>
        <v>3</v>
      </c>
      <c r="U52" s="8">
        <f>IF(Responses!AT52="","",IF(Responses!AT52="Selalu",4,IF(Responses!AT52="Sering",3,IF(Responses!AT52="Kadang - Kadang",2,IF(Responses!AT52="Jarang",1,0)))))</f>
        <v>3</v>
      </c>
      <c r="V52" s="8">
        <f>IF(Responses!AU52="","",IF(Responses!AU52="Selalu",4,IF(Responses!AU52="Sering",3,IF(Responses!AU52="Kadang - Kadang",2,IF(Responses!AU52="Jarang",1,0)))))</f>
        <v>1</v>
      </c>
      <c r="W52" s="8">
        <f>IF(Responses!AV52="","",IF(Responses!AV52="Selalu",4,IF(Responses!AV52="Sering",3,IF(Responses!AV52="Kadang - Kadang",2,IF(Responses!AV52="Jarang",1,0)))))</f>
        <v>2</v>
      </c>
      <c r="X52" s="8">
        <f>IF(Responses!AW52="","",IF(Responses!AW52="Selalu",4,IF(Responses!AW52="Sering",3,IF(Responses!AW52="Kadang - Kadang",2,IF(Responses!AW52="Jarang",1,0)))))</f>
        <v>3</v>
      </c>
      <c r="Y52" s="20">
        <f t="shared" si="2"/>
        <v>41</v>
      </c>
      <c r="Z52" s="22" t="str">
        <f t="shared" si="3"/>
        <v>Kemungkinan Kecanduan</v>
      </c>
    </row>
    <row r="53" spans="1:26" ht="24" customHeight="1" x14ac:dyDescent="0.3">
      <c r="A53" s="19" t="str">
        <f>Responses!A53</f>
        <v>xVMGvJy</v>
      </c>
      <c r="B53" s="19" t="str">
        <f>Responses!B53</f>
        <v>q4Y6R9k</v>
      </c>
      <c r="C53" s="19">
        <f>Responses!C53</f>
        <v>46136.098981481482</v>
      </c>
      <c r="D53" s="19" t="str">
        <f>Responses!D53</f>
        <v>Khansa Shabihah Humaira</v>
      </c>
      <c r="E53" s="19" t="str">
        <f>Responses!E53</f>
        <v>XI-2</v>
      </c>
      <c r="F53" s="19">
        <f>Responses!F53</f>
        <v>17</v>
      </c>
      <c r="G53" s="8">
        <f>IF(Responses!AF53="","",IF(Responses!AF53="Selalu",4,IF(Responses!AF53="Sering",3,IF(Responses!AF53="Kadang - Kadang",2,IF(Responses!AF53="Jarang",1,0)))))</f>
        <v>2</v>
      </c>
      <c r="H53" s="8">
        <f>IF(Responses!AG53="","",IF(Responses!AG53="Selalu",4,IF(Responses!AG53="Sering",3,IF(Responses!AG53="Kadang - Kadang",2,IF(Responses!AG53="Jarang",1,0)))))</f>
        <v>0</v>
      </c>
      <c r="I53" s="8">
        <f>IF(Responses!AH53="","",IF(Responses!AH53="Selalu",4,IF(Responses!AH53="Sering",3,IF(Responses!AH53="Kadang - Kadang",2,IF(Responses!AH53="Jarang",1,0)))))</f>
        <v>0</v>
      </c>
      <c r="J53" s="8">
        <f>IF(Responses!AI53="","",IF(Responses!AI53="Selalu",4,IF(Responses!AI53="Sering",3,IF(Responses!AI53="Kadang - Kadang",2,IF(Responses!AI53="Jarang",1,0)))))</f>
        <v>0</v>
      </c>
      <c r="K53" s="8">
        <f>IF(Responses!AJ53="","",IF(Responses!AJ53="Selalu",4,IF(Responses!AJ53="Sering",3,IF(Responses!AJ53="Kadang - Kadang",2,IF(Responses!AJ53="Jarang",1,0)))))</f>
        <v>4</v>
      </c>
      <c r="L53" s="8">
        <f>IF(Responses!AK53="","",IF(Responses!AK53="Selalu",4,IF(Responses!AK53="Sering",3,IF(Responses!AK53="Kadang - Kadang",2,IF(Responses!AK53="Jarang",1,0)))))</f>
        <v>0</v>
      </c>
      <c r="M53" s="8">
        <f>IF(Responses!AL53="","",IF(Responses!AL53="Selalu",4,IF(Responses!AL53="Sering",3,IF(Responses!AL53="Kadang - Kadang",2,IF(Responses!AL53="Jarang",1,0)))))</f>
        <v>1</v>
      </c>
      <c r="N53" s="8">
        <f>IF(Responses!AM53="","",IF(Responses!AM53="Selalu",4,IF(Responses!AM53="Sering",3,IF(Responses!AM53="Kadang - Kadang",2,IF(Responses!AM53="Jarang",1,0)))))</f>
        <v>1</v>
      </c>
      <c r="O53" s="8">
        <f>IF(Responses!AN53="","",IF(Responses!AN53="Selalu",4,IF(Responses!AN53="Sering",3,IF(Responses!AN53="Kadang - Kadang",2,IF(Responses!AN53="Jarang",1,0)))))</f>
        <v>1</v>
      </c>
      <c r="P53" s="8">
        <f>IF(Responses!AO53="","",IF(Responses!AO53="Selalu",4,IF(Responses!AO53="Sering",3,IF(Responses!AO53="Kadang - Kadang",2,IF(Responses!AO53="Jarang",1,0)))))</f>
        <v>2</v>
      </c>
      <c r="Q53" s="8">
        <f>IF(Responses!AP53="","",IF(Responses!AP53="Selalu",4,IF(Responses!AP53="Sering",3,IF(Responses!AP53="Kadang - Kadang",2,IF(Responses!AP53="Jarang",1,0)))))</f>
        <v>2</v>
      </c>
      <c r="R53" s="8">
        <f>IF(Responses!AQ53="","",IF(Responses!AQ53="Selalu",4,IF(Responses!AQ53="Sering",3,IF(Responses!AQ53="Kadang - Kadang",2,IF(Responses!AQ53="Jarang",1,0)))))</f>
        <v>0</v>
      </c>
      <c r="S53" s="8">
        <f>IF(Responses!AR53="","",IF(Responses!AR53="Selalu",4,IF(Responses!AR53="Sering",3,IF(Responses!AR53="Kadang - Kadang",2,IF(Responses!AR53="Jarang",1,0)))))</f>
        <v>0</v>
      </c>
      <c r="T53" s="8">
        <f>IF(Responses!AS53="","",IF(Responses!AS53="Selalu",4,IF(Responses!AS53="Sering",3,IF(Responses!AS53="Kadang - Kadang",2,IF(Responses!AS53="Jarang",1,0)))))</f>
        <v>0</v>
      </c>
      <c r="U53" s="8">
        <f>IF(Responses!AT53="","",IF(Responses!AT53="Selalu",4,IF(Responses!AT53="Sering",3,IF(Responses!AT53="Kadang - Kadang",2,IF(Responses!AT53="Jarang",1,0)))))</f>
        <v>2</v>
      </c>
      <c r="V53" s="8">
        <f>IF(Responses!AU53="","",IF(Responses!AU53="Selalu",4,IF(Responses!AU53="Sering",3,IF(Responses!AU53="Kadang - Kadang",2,IF(Responses!AU53="Jarang",1,0)))))</f>
        <v>1</v>
      </c>
      <c r="W53" s="8">
        <f>IF(Responses!AV53="","",IF(Responses!AV53="Selalu",4,IF(Responses!AV53="Sering",3,IF(Responses!AV53="Kadang - Kadang",2,IF(Responses!AV53="Jarang",1,0)))))</f>
        <v>2</v>
      </c>
      <c r="X53" s="8">
        <f>IF(Responses!AW53="","",IF(Responses!AW53="Selalu",4,IF(Responses!AW53="Sering",3,IF(Responses!AW53="Kadang - Kadang",2,IF(Responses!AW53="Jarang",1,0)))))</f>
        <v>1</v>
      </c>
      <c r="Y53" s="20">
        <f t="shared" si="2"/>
        <v>19</v>
      </c>
      <c r="Z53" s="22" t="str">
        <f t="shared" si="3"/>
        <v>Tidak/Sedikit Kecanduan</v>
      </c>
    </row>
    <row r="54" spans="1:26" ht="24" customHeight="1" x14ac:dyDescent="0.3">
      <c r="A54" s="19" t="str">
        <f>Responses!A54</f>
        <v>o9eJvRe</v>
      </c>
      <c r="B54" s="19" t="str">
        <f>Responses!B54</f>
        <v>xX0KJq9</v>
      </c>
      <c r="C54" s="19">
        <f>Responses!C54</f>
        <v>46136.098969907413</v>
      </c>
      <c r="D54" s="19" t="str">
        <f>Responses!D54</f>
        <v>Javindra Huga</v>
      </c>
      <c r="E54" s="19" t="str">
        <f>Responses!E54</f>
        <v>XI-2</v>
      </c>
      <c r="F54" s="19">
        <f>Responses!F54</f>
        <v>17</v>
      </c>
      <c r="G54" s="8">
        <f>IF(Responses!AF54="","",IF(Responses!AF54="Selalu",4,IF(Responses!AF54="Sering",3,IF(Responses!AF54="Kadang - Kadang",2,IF(Responses!AF54="Jarang",1,0)))))</f>
        <v>3</v>
      </c>
      <c r="H54" s="8">
        <f>IF(Responses!AG54="","",IF(Responses!AG54="Selalu",4,IF(Responses!AG54="Sering",3,IF(Responses!AG54="Kadang - Kadang",2,IF(Responses!AG54="Jarang",1,0)))))</f>
        <v>1</v>
      </c>
      <c r="I54" s="8">
        <f>IF(Responses!AH54="","",IF(Responses!AH54="Selalu",4,IF(Responses!AH54="Sering",3,IF(Responses!AH54="Kadang - Kadang",2,IF(Responses!AH54="Jarang",1,0)))))</f>
        <v>1</v>
      </c>
      <c r="J54" s="8">
        <f>IF(Responses!AI54="","",IF(Responses!AI54="Selalu",4,IF(Responses!AI54="Sering",3,IF(Responses!AI54="Kadang - Kadang",2,IF(Responses!AI54="Jarang",1,0)))))</f>
        <v>0</v>
      </c>
      <c r="K54" s="8">
        <f>IF(Responses!AJ54="","",IF(Responses!AJ54="Selalu",4,IF(Responses!AJ54="Sering",3,IF(Responses!AJ54="Kadang - Kadang",2,IF(Responses!AJ54="Jarang",1,0)))))</f>
        <v>3</v>
      </c>
      <c r="L54" s="8">
        <f>IF(Responses!AK54="","",IF(Responses!AK54="Selalu",4,IF(Responses!AK54="Sering",3,IF(Responses!AK54="Kadang - Kadang",2,IF(Responses!AK54="Jarang",1,0)))))</f>
        <v>0</v>
      </c>
      <c r="M54" s="8">
        <f>IF(Responses!AL54="","",IF(Responses!AL54="Selalu",4,IF(Responses!AL54="Sering",3,IF(Responses!AL54="Kadang - Kadang",2,IF(Responses!AL54="Jarang",1,0)))))</f>
        <v>0</v>
      </c>
      <c r="N54" s="8">
        <f>IF(Responses!AM54="","",IF(Responses!AM54="Selalu",4,IF(Responses!AM54="Sering",3,IF(Responses!AM54="Kadang - Kadang",2,IF(Responses!AM54="Jarang",1,0)))))</f>
        <v>1</v>
      </c>
      <c r="O54" s="8">
        <f>IF(Responses!AN54="","",IF(Responses!AN54="Selalu",4,IF(Responses!AN54="Sering",3,IF(Responses!AN54="Kadang - Kadang",2,IF(Responses!AN54="Jarang",1,0)))))</f>
        <v>1</v>
      </c>
      <c r="P54" s="8">
        <f>IF(Responses!AO54="","",IF(Responses!AO54="Selalu",4,IF(Responses!AO54="Sering",3,IF(Responses!AO54="Kadang - Kadang",2,IF(Responses!AO54="Jarang",1,0)))))</f>
        <v>3</v>
      </c>
      <c r="Q54" s="8">
        <f>IF(Responses!AP54="","",IF(Responses!AP54="Selalu",4,IF(Responses!AP54="Sering",3,IF(Responses!AP54="Kadang - Kadang",2,IF(Responses!AP54="Jarang",1,0)))))</f>
        <v>2</v>
      </c>
      <c r="R54" s="8">
        <f>IF(Responses!AQ54="","",IF(Responses!AQ54="Selalu",4,IF(Responses!AQ54="Sering",3,IF(Responses!AQ54="Kadang - Kadang",2,IF(Responses!AQ54="Jarang",1,0)))))</f>
        <v>2</v>
      </c>
      <c r="S54" s="8">
        <f>IF(Responses!AR54="","",IF(Responses!AR54="Selalu",4,IF(Responses!AR54="Sering",3,IF(Responses!AR54="Kadang - Kadang",2,IF(Responses!AR54="Jarang",1,0)))))</f>
        <v>2</v>
      </c>
      <c r="T54" s="8">
        <f>IF(Responses!AS54="","",IF(Responses!AS54="Selalu",4,IF(Responses!AS54="Sering",3,IF(Responses!AS54="Kadang - Kadang",2,IF(Responses!AS54="Jarang",1,0)))))</f>
        <v>3</v>
      </c>
      <c r="U54" s="8">
        <f>IF(Responses!AT54="","",IF(Responses!AT54="Selalu",4,IF(Responses!AT54="Sering",3,IF(Responses!AT54="Kadang - Kadang",2,IF(Responses!AT54="Jarang",1,0)))))</f>
        <v>2</v>
      </c>
      <c r="V54" s="8">
        <f>IF(Responses!AU54="","",IF(Responses!AU54="Selalu",4,IF(Responses!AU54="Sering",3,IF(Responses!AU54="Kadang - Kadang",2,IF(Responses!AU54="Jarang",1,0)))))</f>
        <v>2</v>
      </c>
      <c r="W54" s="8">
        <f>IF(Responses!AV54="","",IF(Responses!AV54="Selalu",4,IF(Responses!AV54="Sering",3,IF(Responses!AV54="Kadang - Kadang",2,IF(Responses!AV54="Jarang",1,0)))))</f>
        <v>1</v>
      </c>
      <c r="X54" s="8">
        <f>IF(Responses!AW54="","",IF(Responses!AW54="Selalu",4,IF(Responses!AW54="Sering",3,IF(Responses!AW54="Kadang - Kadang",2,IF(Responses!AW54="Jarang",1,0)))))</f>
        <v>2</v>
      </c>
      <c r="Y54" s="20">
        <f t="shared" si="2"/>
        <v>29</v>
      </c>
      <c r="Z54" s="22" t="str">
        <f t="shared" si="3"/>
        <v>Tidak/Sedikit Kecanduan</v>
      </c>
    </row>
    <row r="55" spans="1:26" ht="24" customHeight="1" x14ac:dyDescent="0.3">
      <c r="A55" s="19" t="str">
        <f>Responses!A55</f>
        <v>aO5WzEq</v>
      </c>
      <c r="B55" s="19" t="str">
        <f>Responses!B55</f>
        <v>rj07Ajp</v>
      </c>
      <c r="C55" s="19">
        <f>Responses!C55</f>
        <v>46136.099236111113</v>
      </c>
      <c r="D55" s="19" t="str">
        <f>Responses!D55</f>
        <v>Made Viona A.I.S.</v>
      </c>
      <c r="E55" s="19" t="str">
        <f>Responses!E55</f>
        <v>XI-2</v>
      </c>
      <c r="F55" s="19">
        <f>Responses!F55</f>
        <v>17</v>
      </c>
      <c r="G55" s="8">
        <f>IF(Responses!AF55="","",IF(Responses!AF55="Selalu",4,IF(Responses!AF55="Sering",3,IF(Responses!AF55="Kadang - Kadang",2,IF(Responses!AF55="Jarang",1,0)))))</f>
        <v>3</v>
      </c>
      <c r="H55" s="8">
        <f>IF(Responses!AG55="","",IF(Responses!AG55="Selalu",4,IF(Responses!AG55="Sering",3,IF(Responses!AG55="Kadang - Kadang",2,IF(Responses!AG55="Jarang",1,0)))))</f>
        <v>1</v>
      </c>
      <c r="I55" s="8">
        <f>IF(Responses!AH55="","",IF(Responses!AH55="Selalu",4,IF(Responses!AH55="Sering",3,IF(Responses!AH55="Kadang - Kadang",2,IF(Responses!AH55="Jarang",1,0)))))</f>
        <v>2</v>
      </c>
      <c r="J55" s="8">
        <f>IF(Responses!AI55="","",IF(Responses!AI55="Selalu",4,IF(Responses!AI55="Sering",3,IF(Responses!AI55="Kadang - Kadang",2,IF(Responses!AI55="Jarang",1,0)))))</f>
        <v>1</v>
      </c>
      <c r="K55" s="8">
        <f>IF(Responses!AJ55="","",IF(Responses!AJ55="Selalu",4,IF(Responses!AJ55="Sering",3,IF(Responses!AJ55="Kadang - Kadang",2,IF(Responses!AJ55="Jarang",1,0)))))</f>
        <v>2</v>
      </c>
      <c r="L55" s="8">
        <f>IF(Responses!AK55="","",IF(Responses!AK55="Selalu",4,IF(Responses!AK55="Sering",3,IF(Responses!AK55="Kadang - Kadang",2,IF(Responses!AK55="Jarang",1,0)))))</f>
        <v>1</v>
      </c>
      <c r="M55" s="8">
        <f>IF(Responses!AL55="","",IF(Responses!AL55="Selalu",4,IF(Responses!AL55="Sering",3,IF(Responses!AL55="Kadang - Kadang",2,IF(Responses!AL55="Jarang",1,0)))))</f>
        <v>1</v>
      </c>
      <c r="N55" s="8">
        <f>IF(Responses!AM55="","",IF(Responses!AM55="Selalu",4,IF(Responses!AM55="Sering",3,IF(Responses!AM55="Kadang - Kadang",2,IF(Responses!AM55="Jarang",1,0)))))</f>
        <v>3</v>
      </c>
      <c r="O55" s="8">
        <f>IF(Responses!AN55="","",IF(Responses!AN55="Selalu",4,IF(Responses!AN55="Sering",3,IF(Responses!AN55="Kadang - Kadang",2,IF(Responses!AN55="Jarang",1,0)))))</f>
        <v>0</v>
      </c>
      <c r="P55" s="8">
        <f>IF(Responses!AO55="","",IF(Responses!AO55="Selalu",4,IF(Responses!AO55="Sering",3,IF(Responses!AO55="Kadang - Kadang",2,IF(Responses!AO55="Jarang",1,0)))))</f>
        <v>2</v>
      </c>
      <c r="Q55" s="8">
        <f>IF(Responses!AP55="","",IF(Responses!AP55="Selalu",4,IF(Responses!AP55="Sering",3,IF(Responses!AP55="Kadang - Kadang",2,IF(Responses!AP55="Jarang",1,0)))))</f>
        <v>1</v>
      </c>
      <c r="R55" s="8">
        <f>IF(Responses!AQ55="","",IF(Responses!AQ55="Selalu",4,IF(Responses!AQ55="Sering",3,IF(Responses!AQ55="Kadang - Kadang",2,IF(Responses!AQ55="Jarang",1,0)))))</f>
        <v>2</v>
      </c>
      <c r="S55" s="8">
        <f>IF(Responses!AR55="","",IF(Responses!AR55="Selalu",4,IF(Responses!AR55="Sering",3,IF(Responses!AR55="Kadang - Kadang",2,IF(Responses!AR55="Jarang",1,0)))))</f>
        <v>2</v>
      </c>
      <c r="T55" s="8">
        <f>IF(Responses!AS55="","",IF(Responses!AS55="Selalu",4,IF(Responses!AS55="Sering",3,IF(Responses!AS55="Kadang - Kadang",2,IF(Responses!AS55="Jarang",1,0)))))</f>
        <v>2</v>
      </c>
      <c r="U55" s="8">
        <f>IF(Responses!AT55="","",IF(Responses!AT55="Selalu",4,IF(Responses!AT55="Sering",3,IF(Responses!AT55="Kadang - Kadang",2,IF(Responses!AT55="Jarang",1,0)))))</f>
        <v>1</v>
      </c>
      <c r="V55" s="8">
        <f>IF(Responses!AU55="","",IF(Responses!AU55="Selalu",4,IF(Responses!AU55="Sering",3,IF(Responses!AU55="Kadang - Kadang",2,IF(Responses!AU55="Jarang",1,0)))))</f>
        <v>1</v>
      </c>
      <c r="W55" s="8">
        <f>IF(Responses!AV55="","",IF(Responses!AV55="Selalu",4,IF(Responses!AV55="Sering",3,IF(Responses!AV55="Kadang - Kadang",2,IF(Responses!AV55="Jarang",1,0)))))</f>
        <v>1</v>
      </c>
      <c r="X55" s="8">
        <f>IF(Responses!AW55="","",IF(Responses!AW55="Selalu",4,IF(Responses!AW55="Sering",3,IF(Responses!AW55="Kadang - Kadang",2,IF(Responses!AW55="Jarang",1,0)))))</f>
        <v>1</v>
      </c>
      <c r="Y55" s="20">
        <f t="shared" si="2"/>
        <v>27</v>
      </c>
      <c r="Z55" s="22" t="str">
        <f t="shared" si="3"/>
        <v>Tidak/Sedikit Kecanduan</v>
      </c>
    </row>
    <row r="56" spans="1:26" ht="24" customHeight="1" x14ac:dyDescent="0.3">
      <c r="A56" s="19" t="str">
        <f>Responses!A56</f>
        <v>je6Kzp1</v>
      </c>
      <c r="B56" s="19" t="str">
        <f>Responses!B56</f>
        <v>vG0ky20</v>
      </c>
      <c r="C56" s="19">
        <f>Responses!C56</f>
        <v>46136.099293981482</v>
      </c>
      <c r="D56" s="19" t="str">
        <f>Responses!D56</f>
        <v>Bima Saengga Cipta</v>
      </c>
      <c r="E56" s="19" t="str">
        <f>Responses!E56</f>
        <v>XI-2</v>
      </c>
      <c r="F56" s="19">
        <f>Responses!F56</f>
        <v>17</v>
      </c>
      <c r="G56" s="8">
        <f>IF(Responses!AF56="","",IF(Responses!AF56="Selalu",4,IF(Responses!AF56="Sering",3,IF(Responses!AF56="Kadang - Kadang",2,IF(Responses!AF56="Jarang",1,0)))))</f>
        <v>4</v>
      </c>
      <c r="H56" s="8">
        <f>IF(Responses!AG56="","",IF(Responses!AG56="Selalu",4,IF(Responses!AG56="Sering",3,IF(Responses!AG56="Kadang - Kadang",2,IF(Responses!AG56="Jarang",1,0)))))</f>
        <v>2</v>
      </c>
      <c r="I56" s="8">
        <f>IF(Responses!AH56="","",IF(Responses!AH56="Selalu",4,IF(Responses!AH56="Sering",3,IF(Responses!AH56="Kadang - Kadang",2,IF(Responses!AH56="Jarang",1,0)))))</f>
        <v>3</v>
      </c>
      <c r="J56" s="8">
        <f>IF(Responses!AI56="","",IF(Responses!AI56="Selalu",4,IF(Responses!AI56="Sering",3,IF(Responses!AI56="Kadang - Kadang",2,IF(Responses!AI56="Jarang",1,0)))))</f>
        <v>2</v>
      </c>
      <c r="K56" s="8">
        <f>IF(Responses!AJ56="","",IF(Responses!AJ56="Selalu",4,IF(Responses!AJ56="Sering",3,IF(Responses!AJ56="Kadang - Kadang",2,IF(Responses!AJ56="Jarang",1,0)))))</f>
        <v>2</v>
      </c>
      <c r="L56" s="8">
        <f>IF(Responses!AK56="","",IF(Responses!AK56="Selalu",4,IF(Responses!AK56="Sering",3,IF(Responses!AK56="Kadang - Kadang",2,IF(Responses!AK56="Jarang",1,0)))))</f>
        <v>1</v>
      </c>
      <c r="M56" s="8">
        <f>IF(Responses!AL56="","",IF(Responses!AL56="Selalu",4,IF(Responses!AL56="Sering",3,IF(Responses!AL56="Kadang - Kadang",2,IF(Responses!AL56="Jarang",1,0)))))</f>
        <v>2</v>
      </c>
      <c r="N56" s="8">
        <f>IF(Responses!AM56="","",IF(Responses!AM56="Selalu",4,IF(Responses!AM56="Sering",3,IF(Responses!AM56="Kadang - Kadang",2,IF(Responses!AM56="Jarang",1,0)))))</f>
        <v>4</v>
      </c>
      <c r="O56" s="8">
        <f>IF(Responses!AN56="","",IF(Responses!AN56="Selalu",4,IF(Responses!AN56="Sering",3,IF(Responses!AN56="Kadang - Kadang",2,IF(Responses!AN56="Jarang",1,0)))))</f>
        <v>4</v>
      </c>
      <c r="P56" s="8">
        <f>IF(Responses!AO56="","",IF(Responses!AO56="Selalu",4,IF(Responses!AO56="Sering",3,IF(Responses!AO56="Kadang - Kadang",2,IF(Responses!AO56="Jarang",1,0)))))</f>
        <v>4</v>
      </c>
      <c r="Q56" s="8">
        <f>IF(Responses!AP56="","",IF(Responses!AP56="Selalu",4,IF(Responses!AP56="Sering",3,IF(Responses!AP56="Kadang - Kadang",2,IF(Responses!AP56="Jarang",1,0)))))</f>
        <v>0</v>
      </c>
      <c r="R56" s="8">
        <f>IF(Responses!AQ56="","",IF(Responses!AQ56="Selalu",4,IF(Responses!AQ56="Sering",3,IF(Responses!AQ56="Kadang - Kadang",2,IF(Responses!AQ56="Jarang",1,0)))))</f>
        <v>2</v>
      </c>
      <c r="S56" s="8">
        <f>IF(Responses!AR56="","",IF(Responses!AR56="Selalu",4,IF(Responses!AR56="Sering",3,IF(Responses!AR56="Kadang - Kadang",2,IF(Responses!AR56="Jarang",1,0)))))</f>
        <v>3</v>
      </c>
      <c r="T56" s="8">
        <f>IF(Responses!AS56="","",IF(Responses!AS56="Selalu",4,IF(Responses!AS56="Sering",3,IF(Responses!AS56="Kadang - Kadang",2,IF(Responses!AS56="Jarang",1,0)))))</f>
        <v>2</v>
      </c>
      <c r="U56" s="8">
        <f>IF(Responses!AT56="","",IF(Responses!AT56="Selalu",4,IF(Responses!AT56="Sering",3,IF(Responses!AT56="Kadang - Kadang",2,IF(Responses!AT56="Jarang",1,0)))))</f>
        <v>3</v>
      </c>
      <c r="V56" s="8">
        <f>IF(Responses!AU56="","",IF(Responses!AU56="Selalu",4,IF(Responses!AU56="Sering",3,IF(Responses!AU56="Kadang - Kadang",2,IF(Responses!AU56="Jarang",1,0)))))</f>
        <v>2</v>
      </c>
      <c r="W56" s="8">
        <f>IF(Responses!AV56="","",IF(Responses!AV56="Selalu",4,IF(Responses!AV56="Sering",3,IF(Responses!AV56="Kadang - Kadang",2,IF(Responses!AV56="Jarang",1,0)))))</f>
        <v>3</v>
      </c>
      <c r="X56" s="8">
        <f>IF(Responses!AW56="","",IF(Responses!AW56="Selalu",4,IF(Responses!AW56="Sering",3,IF(Responses!AW56="Kadang - Kadang",2,IF(Responses!AW56="Jarang",1,0)))))</f>
        <v>1</v>
      </c>
      <c r="Y56" s="20">
        <f t="shared" si="2"/>
        <v>44</v>
      </c>
      <c r="Z56" s="22" t="str">
        <f t="shared" si="3"/>
        <v>Kemungkinan Kecanduan</v>
      </c>
    </row>
    <row r="57" spans="1:26" ht="24" customHeight="1" x14ac:dyDescent="0.3">
      <c r="A57" s="19" t="str">
        <f>Responses!A57</f>
        <v>9N9e4KQ</v>
      </c>
      <c r="B57" s="19" t="str">
        <f>Responses!B57</f>
        <v>zx0lDG1</v>
      </c>
      <c r="C57" s="19">
        <f>Responses!C57</f>
        <v>46136.099328703713</v>
      </c>
      <c r="D57" s="19" t="str">
        <f>Responses!D57</f>
        <v>Wigaraya Wibowo</v>
      </c>
      <c r="E57" s="19" t="str">
        <f>Responses!E57</f>
        <v>XI-2</v>
      </c>
      <c r="F57" s="19">
        <f>Responses!F57</f>
        <v>17</v>
      </c>
      <c r="G57" s="8">
        <f>IF(Responses!AF57="","",IF(Responses!AF57="Selalu",4,IF(Responses!AF57="Sering",3,IF(Responses!AF57="Kadang - Kadang",2,IF(Responses!AF57="Jarang",1,0)))))</f>
        <v>2</v>
      </c>
      <c r="H57" s="8">
        <f>IF(Responses!AG57="","",IF(Responses!AG57="Selalu",4,IF(Responses!AG57="Sering",3,IF(Responses!AG57="Kadang - Kadang",2,IF(Responses!AG57="Jarang",1,0)))))</f>
        <v>1</v>
      </c>
      <c r="I57" s="8">
        <f>IF(Responses!AH57="","",IF(Responses!AH57="Selalu",4,IF(Responses!AH57="Sering",3,IF(Responses!AH57="Kadang - Kadang",2,IF(Responses!AH57="Jarang",1,0)))))</f>
        <v>1</v>
      </c>
      <c r="J57" s="8">
        <f>IF(Responses!AI57="","",IF(Responses!AI57="Selalu",4,IF(Responses!AI57="Sering",3,IF(Responses!AI57="Kadang - Kadang",2,IF(Responses!AI57="Jarang",1,0)))))</f>
        <v>2</v>
      </c>
      <c r="K57" s="8">
        <f>IF(Responses!AJ57="","",IF(Responses!AJ57="Selalu",4,IF(Responses!AJ57="Sering",3,IF(Responses!AJ57="Kadang - Kadang",2,IF(Responses!AJ57="Jarang",1,0)))))</f>
        <v>0</v>
      </c>
      <c r="L57" s="8">
        <f>IF(Responses!AK57="","",IF(Responses!AK57="Selalu",4,IF(Responses!AK57="Sering",3,IF(Responses!AK57="Kadang - Kadang",2,IF(Responses!AK57="Jarang",1,0)))))</f>
        <v>0</v>
      </c>
      <c r="M57" s="8">
        <f>IF(Responses!AL57="","",IF(Responses!AL57="Selalu",4,IF(Responses!AL57="Sering",3,IF(Responses!AL57="Kadang - Kadang",2,IF(Responses!AL57="Jarang",1,0)))))</f>
        <v>1</v>
      </c>
      <c r="N57" s="8">
        <f>IF(Responses!AM57="","",IF(Responses!AM57="Selalu",4,IF(Responses!AM57="Sering",3,IF(Responses!AM57="Kadang - Kadang",2,IF(Responses!AM57="Jarang",1,0)))))</f>
        <v>1</v>
      </c>
      <c r="O57" s="8">
        <f>IF(Responses!AN57="","",IF(Responses!AN57="Selalu",4,IF(Responses!AN57="Sering",3,IF(Responses!AN57="Kadang - Kadang",2,IF(Responses!AN57="Jarang",1,0)))))</f>
        <v>0</v>
      </c>
      <c r="P57" s="8">
        <f>IF(Responses!AO57="","",IF(Responses!AO57="Selalu",4,IF(Responses!AO57="Sering",3,IF(Responses!AO57="Kadang - Kadang",2,IF(Responses!AO57="Jarang",1,0)))))</f>
        <v>2</v>
      </c>
      <c r="Q57" s="8">
        <f>IF(Responses!AP57="","",IF(Responses!AP57="Selalu",4,IF(Responses!AP57="Sering",3,IF(Responses!AP57="Kadang - Kadang",2,IF(Responses!AP57="Jarang",1,0)))))</f>
        <v>1</v>
      </c>
      <c r="R57" s="8">
        <f>IF(Responses!AQ57="","",IF(Responses!AQ57="Selalu",4,IF(Responses!AQ57="Sering",3,IF(Responses!AQ57="Kadang - Kadang",2,IF(Responses!AQ57="Jarang",1,0)))))</f>
        <v>2</v>
      </c>
      <c r="S57" s="8">
        <f>IF(Responses!AR57="","",IF(Responses!AR57="Selalu",4,IF(Responses!AR57="Sering",3,IF(Responses!AR57="Kadang - Kadang",2,IF(Responses!AR57="Jarang",1,0)))))</f>
        <v>2</v>
      </c>
      <c r="T57" s="8">
        <f>IF(Responses!AS57="","",IF(Responses!AS57="Selalu",4,IF(Responses!AS57="Sering",3,IF(Responses!AS57="Kadang - Kadang",2,IF(Responses!AS57="Jarang",1,0)))))</f>
        <v>1</v>
      </c>
      <c r="U57" s="8">
        <f>IF(Responses!AT57="","",IF(Responses!AT57="Selalu",4,IF(Responses!AT57="Sering",3,IF(Responses!AT57="Kadang - Kadang",2,IF(Responses!AT57="Jarang",1,0)))))</f>
        <v>2</v>
      </c>
      <c r="V57" s="8">
        <f>IF(Responses!AU57="","",IF(Responses!AU57="Selalu",4,IF(Responses!AU57="Sering",3,IF(Responses!AU57="Kadang - Kadang",2,IF(Responses!AU57="Jarang",1,0)))))</f>
        <v>0</v>
      </c>
      <c r="W57" s="8">
        <f>IF(Responses!AV57="","",IF(Responses!AV57="Selalu",4,IF(Responses!AV57="Sering",3,IF(Responses!AV57="Kadang - Kadang",2,IF(Responses!AV57="Jarang",1,0)))))</f>
        <v>2</v>
      </c>
      <c r="X57" s="8">
        <f>IF(Responses!AW57="","",IF(Responses!AW57="Selalu",4,IF(Responses!AW57="Sering",3,IF(Responses!AW57="Kadang - Kadang",2,IF(Responses!AW57="Jarang",1,0)))))</f>
        <v>1</v>
      </c>
      <c r="Y57" s="20">
        <f t="shared" si="2"/>
        <v>21</v>
      </c>
      <c r="Z57" s="22" t="str">
        <f t="shared" si="3"/>
        <v>Tidak/Sedikit Kecanduan</v>
      </c>
    </row>
    <row r="58" spans="1:26" ht="24" customHeight="1" x14ac:dyDescent="0.3">
      <c r="A58" s="19" t="str">
        <f>Responses!A58</f>
        <v>Ge9M7Qo</v>
      </c>
      <c r="B58" s="19" t="str">
        <f>Responses!B58</f>
        <v>gDQ20qK</v>
      </c>
      <c r="C58" s="19">
        <f>Responses!C58</f>
        <v>46136.099479166667</v>
      </c>
      <c r="D58" s="19" t="str">
        <f>Responses!D58</f>
        <v xml:space="preserve">MUHAMMAD KENZEY MAUREY KENAZ KUSNADI </v>
      </c>
      <c r="E58" s="19" t="str">
        <f>Responses!E58</f>
        <v>XI-2</v>
      </c>
      <c r="F58" s="19">
        <f>Responses!F58</f>
        <v>17</v>
      </c>
      <c r="G58" s="8">
        <f>IF(Responses!AF58="","",IF(Responses!AF58="Selalu",4,IF(Responses!AF58="Sering",3,IF(Responses!AF58="Kadang - Kadang",2,IF(Responses!AF58="Jarang",1,0)))))</f>
        <v>3</v>
      </c>
      <c r="H58" s="8">
        <f>IF(Responses!AG58="","",IF(Responses!AG58="Selalu",4,IF(Responses!AG58="Sering",3,IF(Responses!AG58="Kadang - Kadang",2,IF(Responses!AG58="Jarang",1,0)))))</f>
        <v>2</v>
      </c>
      <c r="I58" s="8">
        <f>IF(Responses!AH58="","",IF(Responses!AH58="Selalu",4,IF(Responses!AH58="Sering",3,IF(Responses!AH58="Kadang - Kadang",2,IF(Responses!AH58="Jarang",1,0)))))</f>
        <v>0</v>
      </c>
      <c r="J58" s="8">
        <f>IF(Responses!AI58="","",IF(Responses!AI58="Selalu",4,IF(Responses!AI58="Sering",3,IF(Responses!AI58="Kadang - Kadang",2,IF(Responses!AI58="Jarang",1,0)))))</f>
        <v>2</v>
      </c>
      <c r="K58" s="8">
        <f>IF(Responses!AJ58="","",IF(Responses!AJ58="Selalu",4,IF(Responses!AJ58="Sering",3,IF(Responses!AJ58="Kadang - Kadang",2,IF(Responses!AJ58="Jarang",1,0)))))</f>
        <v>1</v>
      </c>
      <c r="L58" s="8">
        <f>IF(Responses!AK58="","",IF(Responses!AK58="Selalu",4,IF(Responses!AK58="Sering",3,IF(Responses!AK58="Kadang - Kadang",2,IF(Responses!AK58="Jarang",1,0)))))</f>
        <v>0</v>
      </c>
      <c r="M58" s="8">
        <f>IF(Responses!AL58="","",IF(Responses!AL58="Selalu",4,IF(Responses!AL58="Sering",3,IF(Responses!AL58="Kadang - Kadang",2,IF(Responses!AL58="Jarang",1,0)))))</f>
        <v>2</v>
      </c>
      <c r="N58" s="8">
        <f>IF(Responses!AM58="","",IF(Responses!AM58="Selalu",4,IF(Responses!AM58="Sering",3,IF(Responses!AM58="Kadang - Kadang",2,IF(Responses!AM58="Jarang",1,0)))))</f>
        <v>4</v>
      </c>
      <c r="O58" s="8">
        <f>IF(Responses!AN58="","",IF(Responses!AN58="Selalu",4,IF(Responses!AN58="Sering",3,IF(Responses!AN58="Kadang - Kadang",2,IF(Responses!AN58="Jarang",1,0)))))</f>
        <v>1</v>
      </c>
      <c r="P58" s="8">
        <f>IF(Responses!AO58="","",IF(Responses!AO58="Selalu",4,IF(Responses!AO58="Sering",3,IF(Responses!AO58="Kadang - Kadang",2,IF(Responses!AO58="Jarang",1,0)))))</f>
        <v>0</v>
      </c>
      <c r="Q58" s="8">
        <f>IF(Responses!AP58="","",IF(Responses!AP58="Selalu",4,IF(Responses!AP58="Sering",3,IF(Responses!AP58="Kadang - Kadang",2,IF(Responses!AP58="Jarang",1,0)))))</f>
        <v>0</v>
      </c>
      <c r="R58" s="8">
        <f>IF(Responses!AQ58="","",IF(Responses!AQ58="Selalu",4,IF(Responses!AQ58="Sering",3,IF(Responses!AQ58="Kadang - Kadang",2,IF(Responses!AQ58="Jarang",1,0)))))</f>
        <v>0</v>
      </c>
      <c r="S58" s="8">
        <f>IF(Responses!AR58="","",IF(Responses!AR58="Selalu",4,IF(Responses!AR58="Sering",3,IF(Responses!AR58="Kadang - Kadang",2,IF(Responses!AR58="Jarang",1,0)))))</f>
        <v>3</v>
      </c>
      <c r="T58" s="8">
        <f>IF(Responses!AS58="","",IF(Responses!AS58="Selalu",4,IF(Responses!AS58="Sering",3,IF(Responses!AS58="Kadang - Kadang",2,IF(Responses!AS58="Jarang",1,0)))))</f>
        <v>2</v>
      </c>
      <c r="U58" s="8">
        <f>IF(Responses!AT58="","",IF(Responses!AT58="Selalu",4,IF(Responses!AT58="Sering",3,IF(Responses!AT58="Kadang - Kadang",2,IF(Responses!AT58="Jarang",1,0)))))</f>
        <v>3</v>
      </c>
      <c r="V58" s="8">
        <f>IF(Responses!AU58="","",IF(Responses!AU58="Selalu",4,IF(Responses!AU58="Sering",3,IF(Responses!AU58="Kadang - Kadang",2,IF(Responses!AU58="Jarang",1,0)))))</f>
        <v>0</v>
      </c>
      <c r="W58" s="8">
        <f>IF(Responses!AV58="","",IF(Responses!AV58="Selalu",4,IF(Responses!AV58="Sering",3,IF(Responses!AV58="Kadang - Kadang",2,IF(Responses!AV58="Jarang",1,0)))))</f>
        <v>3</v>
      </c>
      <c r="X58" s="8">
        <f>IF(Responses!AW58="","",IF(Responses!AW58="Selalu",4,IF(Responses!AW58="Sering",3,IF(Responses!AW58="Kadang - Kadang",2,IF(Responses!AW58="Jarang",1,0)))))</f>
        <v>2</v>
      </c>
      <c r="Y58" s="20">
        <f t="shared" si="2"/>
        <v>28</v>
      </c>
      <c r="Z58" s="22" t="str">
        <f t="shared" si="3"/>
        <v>Tidak/Sedikit Kecanduan</v>
      </c>
    </row>
    <row r="59" spans="1:26" ht="24" customHeight="1" x14ac:dyDescent="0.3">
      <c r="A59" s="19" t="str">
        <f>Responses!A59</f>
        <v>Kp5XOxk</v>
      </c>
      <c r="B59" s="19" t="str">
        <f>Responses!B59</f>
        <v>D4XQNRX</v>
      </c>
      <c r="C59" s="19">
        <f>Responses!C59</f>
        <v>46136.099606481483</v>
      </c>
      <c r="D59" s="19" t="str">
        <f>Responses!D59</f>
        <v>sakti dizam satya c</v>
      </c>
      <c r="E59" s="19" t="str">
        <f>Responses!E59</f>
        <v>XI-3</v>
      </c>
      <c r="F59" s="19">
        <f>Responses!F59</f>
        <v>16</v>
      </c>
      <c r="G59" s="8">
        <f>IF(Responses!AF59="","",IF(Responses!AF59="Selalu",4,IF(Responses!AF59="Sering",3,IF(Responses!AF59="Kadang - Kadang",2,IF(Responses!AF59="Jarang",1,0)))))</f>
        <v>1</v>
      </c>
      <c r="H59" s="8">
        <f>IF(Responses!AG59="","",IF(Responses!AG59="Selalu",4,IF(Responses!AG59="Sering",3,IF(Responses!AG59="Kadang - Kadang",2,IF(Responses!AG59="Jarang",1,0)))))</f>
        <v>1</v>
      </c>
      <c r="I59" s="8">
        <f>IF(Responses!AH59="","",IF(Responses!AH59="Selalu",4,IF(Responses!AH59="Sering",3,IF(Responses!AH59="Kadang - Kadang",2,IF(Responses!AH59="Jarang",1,0)))))</f>
        <v>1</v>
      </c>
      <c r="J59" s="8">
        <f>IF(Responses!AI59="","",IF(Responses!AI59="Selalu",4,IF(Responses!AI59="Sering",3,IF(Responses!AI59="Kadang - Kadang",2,IF(Responses!AI59="Jarang",1,0)))))</f>
        <v>1</v>
      </c>
      <c r="K59" s="8">
        <f>IF(Responses!AJ59="","",IF(Responses!AJ59="Selalu",4,IF(Responses!AJ59="Sering",3,IF(Responses!AJ59="Kadang - Kadang",2,IF(Responses!AJ59="Jarang",1,0)))))</f>
        <v>1</v>
      </c>
      <c r="L59" s="8">
        <f>IF(Responses!AK59="","",IF(Responses!AK59="Selalu",4,IF(Responses!AK59="Sering",3,IF(Responses!AK59="Kadang - Kadang",2,IF(Responses!AK59="Jarang",1,0)))))</f>
        <v>1</v>
      </c>
      <c r="M59" s="8">
        <f>IF(Responses!AL59="","",IF(Responses!AL59="Selalu",4,IF(Responses!AL59="Sering",3,IF(Responses!AL59="Kadang - Kadang",2,IF(Responses!AL59="Jarang",1,0)))))</f>
        <v>1</v>
      </c>
      <c r="N59" s="8">
        <f>IF(Responses!AM59="","",IF(Responses!AM59="Selalu",4,IF(Responses!AM59="Sering",3,IF(Responses!AM59="Kadang - Kadang",2,IF(Responses!AM59="Jarang",1,0)))))</f>
        <v>1</v>
      </c>
      <c r="O59" s="8">
        <f>IF(Responses!AN59="","",IF(Responses!AN59="Selalu",4,IF(Responses!AN59="Sering",3,IF(Responses!AN59="Kadang - Kadang",2,IF(Responses!AN59="Jarang",1,0)))))</f>
        <v>1</v>
      </c>
      <c r="P59" s="8">
        <f>IF(Responses!AO59="","",IF(Responses!AO59="Selalu",4,IF(Responses!AO59="Sering",3,IF(Responses!AO59="Kadang - Kadang",2,IF(Responses!AO59="Jarang",1,0)))))</f>
        <v>1</v>
      </c>
      <c r="Q59" s="8">
        <f>IF(Responses!AP59="","",IF(Responses!AP59="Selalu",4,IF(Responses!AP59="Sering",3,IF(Responses!AP59="Kadang - Kadang",2,IF(Responses!AP59="Jarang",1,0)))))</f>
        <v>1</v>
      </c>
      <c r="R59" s="8">
        <f>IF(Responses!AQ59="","",IF(Responses!AQ59="Selalu",4,IF(Responses!AQ59="Sering",3,IF(Responses!AQ59="Kadang - Kadang",2,IF(Responses!AQ59="Jarang",1,0)))))</f>
        <v>1</v>
      </c>
      <c r="S59" s="8">
        <f>IF(Responses!AR59="","",IF(Responses!AR59="Selalu",4,IF(Responses!AR59="Sering",3,IF(Responses!AR59="Kadang - Kadang",2,IF(Responses!AR59="Jarang",1,0)))))</f>
        <v>1</v>
      </c>
      <c r="T59" s="8">
        <f>IF(Responses!AS59="","",IF(Responses!AS59="Selalu",4,IF(Responses!AS59="Sering",3,IF(Responses!AS59="Kadang - Kadang",2,IF(Responses!AS59="Jarang",1,0)))))</f>
        <v>1</v>
      </c>
      <c r="U59" s="8">
        <f>IF(Responses!AT59="","",IF(Responses!AT59="Selalu",4,IF(Responses!AT59="Sering",3,IF(Responses!AT59="Kadang - Kadang",2,IF(Responses!AT59="Jarang",1,0)))))</f>
        <v>1</v>
      </c>
      <c r="V59" s="8">
        <f>IF(Responses!AU59="","",IF(Responses!AU59="Selalu",4,IF(Responses!AU59="Sering",3,IF(Responses!AU59="Kadang - Kadang",2,IF(Responses!AU59="Jarang",1,0)))))</f>
        <v>1</v>
      </c>
      <c r="W59" s="8">
        <f>IF(Responses!AV59="","",IF(Responses!AV59="Selalu",4,IF(Responses!AV59="Sering",3,IF(Responses!AV59="Kadang - Kadang",2,IF(Responses!AV59="Jarang",1,0)))))</f>
        <v>1</v>
      </c>
      <c r="X59" s="8">
        <f>IF(Responses!AW59="","",IF(Responses!AW59="Selalu",4,IF(Responses!AW59="Sering",3,IF(Responses!AW59="Kadang - Kadang",2,IF(Responses!AW59="Jarang",1,0)))))</f>
        <v>1</v>
      </c>
      <c r="Y59" s="20">
        <f t="shared" si="2"/>
        <v>18</v>
      </c>
      <c r="Z59" s="22" t="str">
        <f t="shared" si="3"/>
        <v>Tidak/Sedikit Kecanduan</v>
      </c>
    </row>
    <row r="60" spans="1:26" ht="24" customHeight="1" x14ac:dyDescent="0.3">
      <c r="A60" s="19" t="str">
        <f>Responses!A60</f>
        <v>gbdBgzl</v>
      </c>
      <c r="B60" s="19" t="str">
        <f>Responses!B60</f>
        <v>XxRXe0O</v>
      </c>
      <c r="C60" s="19">
        <f>Responses!C60</f>
        <v>46136.099699074082</v>
      </c>
      <c r="D60" s="19" t="str">
        <f>Responses!D60</f>
        <v>Satriyo Rahman Astratama</v>
      </c>
      <c r="E60" s="19" t="str">
        <f>Responses!E60</f>
        <v>XI-2</v>
      </c>
      <c r="F60" s="19">
        <f>Responses!F60</f>
        <v>17</v>
      </c>
      <c r="G60" s="8">
        <f>IF(Responses!AF60="","",IF(Responses!AF60="Selalu",4,IF(Responses!AF60="Sering",3,IF(Responses!AF60="Kadang - Kadang",2,IF(Responses!AF60="Jarang",1,0)))))</f>
        <v>2</v>
      </c>
      <c r="H60" s="8">
        <f>IF(Responses!AG60="","",IF(Responses!AG60="Selalu",4,IF(Responses!AG60="Sering",3,IF(Responses!AG60="Kadang - Kadang",2,IF(Responses!AG60="Jarang",1,0)))))</f>
        <v>2</v>
      </c>
      <c r="I60" s="8">
        <f>IF(Responses!AH60="","",IF(Responses!AH60="Selalu",4,IF(Responses!AH60="Sering",3,IF(Responses!AH60="Kadang - Kadang",2,IF(Responses!AH60="Jarang",1,0)))))</f>
        <v>1</v>
      </c>
      <c r="J60" s="8">
        <f>IF(Responses!AI60="","",IF(Responses!AI60="Selalu",4,IF(Responses!AI60="Sering",3,IF(Responses!AI60="Kadang - Kadang",2,IF(Responses!AI60="Jarang",1,0)))))</f>
        <v>0</v>
      </c>
      <c r="K60" s="8">
        <f>IF(Responses!AJ60="","",IF(Responses!AJ60="Selalu",4,IF(Responses!AJ60="Sering",3,IF(Responses!AJ60="Kadang - Kadang",2,IF(Responses!AJ60="Jarang",1,0)))))</f>
        <v>0</v>
      </c>
      <c r="L60" s="8">
        <f>IF(Responses!AK60="","",IF(Responses!AK60="Selalu",4,IF(Responses!AK60="Sering",3,IF(Responses!AK60="Kadang - Kadang",2,IF(Responses!AK60="Jarang",1,0)))))</f>
        <v>1</v>
      </c>
      <c r="M60" s="8">
        <f>IF(Responses!AL60="","",IF(Responses!AL60="Selalu",4,IF(Responses!AL60="Sering",3,IF(Responses!AL60="Kadang - Kadang",2,IF(Responses!AL60="Jarang",1,0)))))</f>
        <v>1</v>
      </c>
      <c r="N60" s="8">
        <f>IF(Responses!AM60="","",IF(Responses!AM60="Selalu",4,IF(Responses!AM60="Sering",3,IF(Responses!AM60="Kadang - Kadang",2,IF(Responses!AM60="Jarang",1,0)))))</f>
        <v>0</v>
      </c>
      <c r="O60" s="8">
        <f>IF(Responses!AN60="","",IF(Responses!AN60="Selalu",4,IF(Responses!AN60="Sering",3,IF(Responses!AN60="Kadang - Kadang",2,IF(Responses!AN60="Jarang",1,0)))))</f>
        <v>0</v>
      </c>
      <c r="P60" s="8">
        <f>IF(Responses!AO60="","",IF(Responses!AO60="Selalu",4,IF(Responses!AO60="Sering",3,IF(Responses!AO60="Kadang - Kadang",2,IF(Responses!AO60="Jarang",1,0)))))</f>
        <v>2</v>
      </c>
      <c r="Q60" s="8">
        <f>IF(Responses!AP60="","",IF(Responses!AP60="Selalu",4,IF(Responses!AP60="Sering",3,IF(Responses!AP60="Kadang - Kadang",2,IF(Responses!AP60="Jarang",1,0)))))</f>
        <v>0</v>
      </c>
      <c r="R60" s="8">
        <f>IF(Responses!AQ60="","",IF(Responses!AQ60="Selalu",4,IF(Responses!AQ60="Sering",3,IF(Responses!AQ60="Kadang - Kadang",2,IF(Responses!AQ60="Jarang",1,0)))))</f>
        <v>0</v>
      </c>
      <c r="S60" s="8">
        <f>IF(Responses!AR60="","",IF(Responses!AR60="Selalu",4,IF(Responses!AR60="Sering",3,IF(Responses!AR60="Kadang - Kadang",2,IF(Responses!AR60="Jarang",1,0)))))</f>
        <v>0</v>
      </c>
      <c r="T60" s="8">
        <f>IF(Responses!AS60="","",IF(Responses!AS60="Selalu",4,IF(Responses!AS60="Sering",3,IF(Responses!AS60="Kadang - Kadang",2,IF(Responses!AS60="Jarang",1,0)))))</f>
        <v>0</v>
      </c>
      <c r="U60" s="8">
        <f>IF(Responses!AT60="","",IF(Responses!AT60="Selalu",4,IF(Responses!AT60="Sering",3,IF(Responses!AT60="Kadang - Kadang",2,IF(Responses!AT60="Jarang",1,0)))))</f>
        <v>1</v>
      </c>
      <c r="V60" s="8">
        <f>IF(Responses!AU60="","",IF(Responses!AU60="Selalu",4,IF(Responses!AU60="Sering",3,IF(Responses!AU60="Kadang - Kadang",2,IF(Responses!AU60="Jarang",1,0)))))</f>
        <v>1</v>
      </c>
      <c r="W60" s="8">
        <f>IF(Responses!AV60="","",IF(Responses!AV60="Selalu",4,IF(Responses!AV60="Sering",3,IF(Responses!AV60="Kadang - Kadang",2,IF(Responses!AV60="Jarang",1,0)))))</f>
        <v>1</v>
      </c>
      <c r="X60" s="8">
        <f>IF(Responses!AW60="","",IF(Responses!AW60="Selalu",4,IF(Responses!AW60="Sering",3,IF(Responses!AW60="Kadang - Kadang",2,IF(Responses!AW60="Jarang",1,0)))))</f>
        <v>2</v>
      </c>
      <c r="Y60" s="20">
        <f t="shared" si="2"/>
        <v>14</v>
      </c>
      <c r="Z60" s="22" t="str">
        <f t="shared" si="3"/>
        <v>Tidak/Sedikit Kecanduan</v>
      </c>
    </row>
    <row r="61" spans="1:26" ht="24" customHeight="1" x14ac:dyDescent="0.3">
      <c r="A61" s="19" t="str">
        <f>Responses!A61</f>
        <v>Kp5Xgok</v>
      </c>
      <c r="B61" s="19" t="str">
        <f>Responses!B61</f>
        <v>A76ZlEo</v>
      </c>
      <c r="C61" s="19">
        <f>Responses!C61</f>
        <v>46136.099849537037</v>
      </c>
      <c r="D61" s="19" t="str">
        <f>Responses!D61</f>
        <v>Muhammad Pratama Ardyansyah</v>
      </c>
      <c r="E61" s="19" t="str">
        <f>Responses!E61</f>
        <v>XI-3</v>
      </c>
      <c r="F61" s="19">
        <f>Responses!F61</f>
        <v>16</v>
      </c>
      <c r="G61" s="8">
        <f>IF(Responses!AF61="","",IF(Responses!AF61="Selalu",4,IF(Responses!AF61="Sering",3,IF(Responses!AF61="Kadang - Kadang",2,IF(Responses!AF61="Jarang",1,0)))))</f>
        <v>2</v>
      </c>
      <c r="H61" s="8">
        <f>IF(Responses!AG61="","",IF(Responses!AG61="Selalu",4,IF(Responses!AG61="Sering",3,IF(Responses!AG61="Kadang - Kadang",2,IF(Responses!AG61="Jarang",1,0)))))</f>
        <v>4</v>
      </c>
      <c r="I61" s="8">
        <f>IF(Responses!AH61="","",IF(Responses!AH61="Selalu",4,IF(Responses!AH61="Sering",3,IF(Responses!AH61="Kadang - Kadang",2,IF(Responses!AH61="Jarang",1,0)))))</f>
        <v>3</v>
      </c>
      <c r="J61" s="8">
        <f>IF(Responses!AI61="","",IF(Responses!AI61="Selalu",4,IF(Responses!AI61="Sering",3,IF(Responses!AI61="Kadang - Kadang",2,IF(Responses!AI61="Jarang",1,0)))))</f>
        <v>4</v>
      </c>
      <c r="K61" s="8">
        <f>IF(Responses!AJ61="","",IF(Responses!AJ61="Selalu",4,IF(Responses!AJ61="Sering",3,IF(Responses!AJ61="Kadang - Kadang",2,IF(Responses!AJ61="Jarang",1,0)))))</f>
        <v>3</v>
      </c>
      <c r="L61" s="8">
        <f>IF(Responses!AK61="","",IF(Responses!AK61="Selalu",4,IF(Responses!AK61="Sering",3,IF(Responses!AK61="Kadang - Kadang",2,IF(Responses!AK61="Jarang",1,0)))))</f>
        <v>4</v>
      </c>
      <c r="M61" s="8">
        <f>IF(Responses!AL61="","",IF(Responses!AL61="Selalu",4,IF(Responses!AL61="Sering",3,IF(Responses!AL61="Kadang - Kadang",2,IF(Responses!AL61="Jarang",1,0)))))</f>
        <v>2</v>
      </c>
      <c r="N61" s="8">
        <f>IF(Responses!AM61="","",IF(Responses!AM61="Selalu",4,IF(Responses!AM61="Sering",3,IF(Responses!AM61="Kadang - Kadang",2,IF(Responses!AM61="Jarang",1,0)))))</f>
        <v>4</v>
      </c>
      <c r="O61" s="8">
        <f>IF(Responses!AN61="","",IF(Responses!AN61="Selalu",4,IF(Responses!AN61="Sering",3,IF(Responses!AN61="Kadang - Kadang",2,IF(Responses!AN61="Jarang",1,0)))))</f>
        <v>3</v>
      </c>
      <c r="P61" s="8">
        <f>IF(Responses!AO61="","",IF(Responses!AO61="Selalu",4,IF(Responses!AO61="Sering",3,IF(Responses!AO61="Kadang - Kadang",2,IF(Responses!AO61="Jarang",1,0)))))</f>
        <v>2</v>
      </c>
      <c r="Q61" s="8">
        <f>IF(Responses!AP61="","",IF(Responses!AP61="Selalu",4,IF(Responses!AP61="Sering",3,IF(Responses!AP61="Kadang - Kadang",2,IF(Responses!AP61="Jarang",1,0)))))</f>
        <v>4</v>
      </c>
      <c r="R61" s="8">
        <f>IF(Responses!AQ61="","",IF(Responses!AQ61="Selalu",4,IF(Responses!AQ61="Sering",3,IF(Responses!AQ61="Kadang - Kadang",2,IF(Responses!AQ61="Jarang",1,0)))))</f>
        <v>4</v>
      </c>
      <c r="S61" s="8">
        <f>IF(Responses!AR61="","",IF(Responses!AR61="Selalu",4,IF(Responses!AR61="Sering",3,IF(Responses!AR61="Kadang - Kadang",2,IF(Responses!AR61="Jarang",1,0)))))</f>
        <v>4</v>
      </c>
      <c r="T61" s="8">
        <f>IF(Responses!AS61="","",IF(Responses!AS61="Selalu",4,IF(Responses!AS61="Sering",3,IF(Responses!AS61="Kadang - Kadang",2,IF(Responses!AS61="Jarang",1,0)))))</f>
        <v>3</v>
      </c>
      <c r="U61" s="8">
        <f>IF(Responses!AT61="","",IF(Responses!AT61="Selalu",4,IF(Responses!AT61="Sering",3,IF(Responses!AT61="Kadang - Kadang",2,IF(Responses!AT61="Jarang",1,0)))))</f>
        <v>4</v>
      </c>
      <c r="V61" s="8">
        <f>IF(Responses!AU61="","",IF(Responses!AU61="Selalu",4,IF(Responses!AU61="Sering",3,IF(Responses!AU61="Kadang - Kadang",2,IF(Responses!AU61="Jarang",1,0)))))</f>
        <v>3</v>
      </c>
      <c r="W61" s="8">
        <f>IF(Responses!AV61="","",IF(Responses!AV61="Selalu",4,IF(Responses!AV61="Sering",3,IF(Responses!AV61="Kadang - Kadang",2,IF(Responses!AV61="Jarang",1,0)))))</f>
        <v>4</v>
      </c>
      <c r="X61" s="8">
        <f>IF(Responses!AW61="","",IF(Responses!AW61="Selalu",4,IF(Responses!AW61="Sering",3,IF(Responses!AW61="Kadang - Kadang",2,IF(Responses!AW61="Jarang",1,0)))))</f>
        <v>2</v>
      </c>
      <c r="Y61" s="20">
        <f t="shared" si="2"/>
        <v>59</v>
      </c>
      <c r="Z61" s="22" t="str">
        <f t="shared" si="3"/>
        <v>Kemungkinan Kecanduan</v>
      </c>
    </row>
    <row r="62" spans="1:26" ht="24" customHeight="1" x14ac:dyDescent="0.3">
      <c r="A62" s="19" t="str">
        <f>Responses!A62</f>
        <v>Eqdpgoo</v>
      </c>
      <c r="B62" s="19" t="str">
        <f>Responses!B62</f>
        <v>1Ab8KJO</v>
      </c>
      <c r="C62" s="19">
        <f>Responses!C62</f>
        <v>46136.099953703713</v>
      </c>
      <c r="D62" s="19" t="str">
        <f>Responses!D62</f>
        <v>Muhammad Rafa Reza Aryananta</v>
      </c>
      <c r="E62" s="19" t="str">
        <f>Responses!E62</f>
        <v>XI-2</v>
      </c>
      <c r="F62" s="19">
        <f>Responses!F62</f>
        <v>17</v>
      </c>
      <c r="G62" s="8">
        <f>IF(Responses!AF62="","",IF(Responses!AF62="Selalu",4,IF(Responses!AF62="Sering",3,IF(Responses!AF62="Kadang - Kadang",2,IF(Responses!AF62="Jarang",1,0)))))</f>
        <v>2</v>
      </c>
      <c r="H62" s="8">
        <f>IF(Responses!AG62="","",IF(Responses!AG62="Selalu",4,IF(Responses!AG62="Sering",3,IF(Responses!AG62="Kadang - Kadang",2,IF(Responses!AG62="Jarang",1,0)))))</f>
        <v>1</v>
      </c>
      <c r="I62" s="8">
        <f>IF(Responses!AH62="","",IF(Responses!AH62="Selalu",4,IF(Responses!AH62="Sering",3,IF(Responses!AH62="Kadang - Kadang",2,IF(Responses!AH62="Jarang",1,0)))))</f>
        <v>1</v>
      </c>
      <c r="J62" s="8">
        <f>IF(Responses!AI62="","",IF(Responses!AI62="Selalu",4,IF(Responses!AI62="Sering",3,IF(Responses!AI62="Kadang - Kadang",2,IF(Responses!AI62="Jarang",1,0)))))</f>
        <v>1</v>
      </c>
      <c r="K62" s="8">
        <f>IF(Responses!AJ62="","",IF(Responses!AJ62="Selalu",4,IF(Responses!AJ62="Sering",3,IF(Responses!AJ62="Kadang - Kadang",2,IF(Responses!AJ62="Jarang",1,0)))))</f>
        <v>1</v>
      </c>
      <c r="L62" s="8">
        <f>IF(Responses!AK62="","",IF(Responses!AK62="Selalu",4,IF(Responses!AK62="Sering",3,IF(Responses!AK62="Kadang - Kadang",2,IF(Responses!AK62="Jarang",1,0)))))</f>
        <v>1</v>
      </c>
      <c r="M62" s="8">
        <f>IF(Responses!AL62="","",IF(Responses!AL62="Selalu",4,IF(Responses!AL62="Sering",3,IF(Responses!AL62="Kadang - Kadang",2,IF(Responses!AL62="Jarang",1,0)))))</f>
        <v>1</v>
      </c>
      <c r="N62" s="8">
        <f>IF(Responses!AM62="","",IF(Responses!AM62="Selalu",4,IF(Responses!AM62="Sering",3,IF(Responses!AM62="Kadang - Kadang",2,IF(Responses!AM62="Jarang",1,0)))))</f>
        <v>2</v>
      </c>
      <c r="O62" s="8">
        <f>IF(Responses!AN62="","",IF(Responses!AN62="Selalu",4,IF(Responses!AN62="Sering",3,IF(Responses!AN62="Kadang - Kadang",2,IF(Responses!AN62="Jarang",1,0)))))</f>
        <v>1</v>
      </c>
      <c r="P62" s="8">
        <f>IF(Responses!AO62="","",IF(Responses!AO62="Selalu",4,IF(Responses!AO62="Sering",3,IF(Responses!AO62="Kadang - Kadang",2,IF(Responses!AO62="Jarang",1,0)))))</f>
        <v>1</v>
      </c>
      <c r="Q62" s="8">
        <f>IF(Responses!AP62="","",IF(Responses!AP62="Selalu",4,IF(Responses!AP62="Sering",3,IF(Responses!AP62="Kadang - Kadang",2,IF(Responses!AP62="Jarang",1,0)))))</f>
        <v>1</v>
      </c>
      <c r="R62" s="8">
        <f>IF(Responses!AQ62="","",IF(Responses!AQ62="Selalu",4,IF(Responses!AQ62="Sering",3,IF(Responses!AQ62="Kadang - Kadang",2,IF(Responses!AQ62="Jarang",1,0)))))</f>
        <v>1</v>
      </c>
      <c r="S62" s="8">
        <f>IF(Responses!AR62="","",IF(Responses!AR62="Selalu",4,IF(Responses!AR62="Sering",3,IF(Responses!AR62="Kadang - Kadang",2,IF(Responses!AR62="Jarang",1,0)))))</f>
        <v>1</v>
      </c>
      <c r="T62" s="8">
        <f>IF(Responses!AS62="","",IF(Responses!AS62="Selalu",4,IF(Responses!AS62="Sering",3,IF(Responses!AS62="Kadang - Kadang",2,IF(Responses!AS62="Jarang",1,0)))))</f>
        <v>1</v>
      </c>
      <c r="U62" s="8">
        <f>IF(Responses!AT62="","",IF(Responses!AT62="Selalu",4,IF(Responses!AT62="Sering",3,IF(Responses!AT62="Kadang - Kadang",2,IF(Responses!AT62="Jarang",1,0)))))</f>
        <v>2</v>
      </c>
      <c r="V62" s="8">
        <f>IF(Responses!AU62="","",IF(Responses!AU62="Selalu",4,IF(Responses!AU62="Sering",3,IF(Responses!AU62="Kadang - Kadang",2,IF(Responses!AU62="Jarang",1,0)))))</f>
        <v>0</v>
      </c>
      <c r="W62" s="8">
        <f>IF(Responses!AV62="","",IF(Responses!AV62="Selalu",4,IF(Responses!AV62="Sering",3,IF(Responses!AV62="Kadang - Kadang",2,IF(Responses!AV62="Jarang",1,0)))))</f>
        <v>0</v>
      </c>
      <c r="X62" s="8">
        <f>IF(Responses!AW62="","",IF(Responses!AW62="Selalu",4,IF(Responses!AW62="Sering",3,IF(Responses!AW62="Kadang - Kadang",2,IF(Responses!AW62="Jarang",1,0)))))</f>
        <v>1</v>
      </c>
      <c r="Y62" s="20">
        <f t="shared" si="2"/>
        <v>19</v>
      </c>
      <c r="Z62" s="22" t="str">
        <f t="shared" si="3"/>
        <v>Tidak/Sedikit Kecanduan</v>
      </c>
    </row>
    <row r="63" spans="1:26" ht="24" customHeight="1" x14ac:dyDescent="0.3">
      <c r="A63" s="19" t="str">
        <f>Responses!A63</f>
        <v>OQ4RyDM</v>
      </c>
      <c r="B63" s="19" t="str">
        <f>Responses!B63</f>
        <v>ODjvPgY</v>
      </c>
      <c r="C63" s="19">
        <f>Responses!C63</f>
        <v>46136.100011574083</v>
      </c>
      <c r="D63" s="19" t="str">
        <f>Responses!D63</f>
        <v>Aryasatya Candra Adirajasa</v>
      </c>
      <c r="E63" s="19" t="str">
        <f>Responses!E63</f>
        <v>XI-3</v>
      </c>
      <c r="F63" s="19">
        <f>Responses!F63</f>
        <v>17</v>
      </c>
      <c r="G63" s="8">
        <f>IF(Responses!AF63="","",IF(Responses!AF63="Selalu",4,IF(Responses!AF63="Sering",3,IF(Responses!AF63="Kadang - Kadang",2,IF(Responses!AF63="Jarang",1,0)))))</f>
        <v>2</v>
      </c>
      <c r="H63" s="8">
        <f>IF(Responses!AG63="","",IF(Responses!AG63="Selalu",4,IF(Responses!AG63="Sering",3,IF(Responses!AG63="Kadang - Kadang",2,IF(Responses!AG63="Jarang",1,0)))))</f>
        <v>1</v>
      </c>
      <c r="I63" s="8">
        <f>IF(Responses!AH63="","",IF(Responses!AH63="Selalu",4,IF(Responses!AH63="Sering",3,IF(Responses!AH63="Kadang - Kadang",2,IF(Responses!AH63="Jarang",1,0)))))</f>
        <v>2</v>
      </c>
      <c r="J63" s="8">
        <f>IF(Responses!AI63="","",IF(Responses!AI63="Selalu",4,IF(Responses!AI63="Sering",3,IF(Responses!AI63="Kadang - Kadang",2,IF(Responses!AI63="Jarang",1,0)))))</f>
        <v>0</v>
      </c>
      <c r="K63" s="8">
        <f>IF(Responses!AJ63="","",IF(Responses!AJ63="Selalu",4,IF(Responses!AJ63="Sering",3,IF(Responses!AJ63="Kadang - Kadang",2,IF(Responses!AJ63="Jarang",1,0)))))</f>
        <v>0</v>
      </c>
      <c r="L63" s="8">
        <f>IF(Responses!AK63="","",IF(Responses!AK63="Selalu",4,IF(Responses!AK63="Sering",3,IF(Responses!AK63="Kadang - Kadang",2,IF(Responses!AK63="Jarang",1,0)))))</f>
        <v>0</v>
      </c>
      <c r="M63" s="8">
        <f>IF(Responses!AL63="","",IF(Responses!AL63="Selalu",4,IF(Responses!AL63="Sering",3,IF(Responses!AL63="Kadang - Kadang",2,IF(Responses!AL63="Jarang",1,0)))))</f>
        <v>1</v>
      </c>
      <c r="N63" s="8">
        <f>IF(Responses!AM63="","",IF(Responses!AM63="Selalu",4,IF(Responses!AM63="Sering",3,IF(Responses!AM63="Kadang - Kadang",2,IF(Responses!AM63="Jarang",1,0)))))</f>
        <v>3</v>
      </c>
      <c r="O63" s="8">
        <f>IF(Responses!AN63="","",IF(Responses!AN63="Selalu",4,IF(Responses!AN63="Sering",3,IF(Responses!AN63="Kadang - Kadang",2,IF(Responses!AN63="Jarang",1,0)))))</f>
        <v>1</v>
      </c>
      <c r="P63" s="8">
        <f>IF(Responses!AO63="","",IF(Responses!AO63="Selalu",4,IF(Responses!AO63="Sering",3,IF(Responses!AO63="Kadang - Kadang",2,IF(Responses!AO63="Jarang",1,0)))))</f>
        <v>3</v>
      </c>
      <c r="Q63" s="8">
        <f>IF(Responses!AP63="","",IF(Responses!AP63="Selalu",4,IF(Responses!AP63="Sering",3,IF(Responses!AP63="Kadang - Kadang",2,IF(Responses!AP63="Jarang",1,0)))))</f>
        <v>1</v>
      </c>
      <c r="R63" s="8">
        <f>IF(Responses!AQ63="","",IF(Responses!AQ63="Selalu",4,IF(Responses!AQ63="Sering",3,IF(Responses!AQ63="Kadang - Kadang",2,IF(Responses!AQ63="Jarang",1,0)))))</f>
        <v>3</v>
      </c>
      <c r="S63" s="8">
        <f>IF(Responses!AR63="","",IF(Responses!AR63="Selalu",4,IF(Responses!AR63="Sering",3,IF(Responses!AR63="Kadang - Kadang",2,IF(Responses!AR63="Jarang",1,0)))))</f>
        <v>1</v>
      </c>
      <c r="T63" s="8">
        <f>IF(Responses!AS63="","",IF(Responses!AS63="Selalu",4,IF(Responses!AS63="Sering",3,IF(Responses!AS63="Kadang - Kadang",2,IF(Responses!AS63="Jarang",1,0)))))</f>
        <v>2</v>
      </c>
      <c r="U63" s="8">
        <f>IF(Responses!AT63="","",IF(Responses!AT63="Selalu",4,IF(Responses!AT63="Sering",3,IF(Responses!AT63="Kadang - Kadang",2,IF(Responses!AT63="Jarang",1,0)))))</f>
        <v>2</v>
      </c>
      <c r="V63" s="8">
        <f>IF(Responses!AU63="","",IF(Responses!AU63="Selalu",4,IF(Responses!AU63="Sering",3,IF(Responses!AU63="Kadang - Kadang",2,IF(Responses!AU63="Jarang",1,0)))))</f>
        <v>1</v>
      </c>
      <c r="W63" s="8">
        <f>IF(Responses!AV63="","",IF(Responses!AV63="Selalu",4,IF(Responses!AV63="Sering",3,IF(Responses!AV63="Kadang - Kadang",2,IF(Responses!AV63="Jarang",1,0)))))</f>
        <v>0</v>
      </c>
      <c r="X63" s="8">
        <f>IF(Responses!AW63="","",IF(Responses!AW63="Selalu",4,IF(Responses!AW63="Sering",3,IF(Responses!AW63="Kadang - Kadang",2,IF(Responses!AW63="Jarang",1,0)))))</f>
        <v>0</v>
      </c>
      <c r="Y63" s="20">
        <f t="shared" si="2"/>
        <v>23</v>
      </c>
      <c r="Z63" s="22" t="str">
        <f t="shared" si="3"/>
        <v>Tidak/Sedikit Kecanduan</v>
      </c>
    </row>
    <row r="64" spans="1:26" ht="24" customHeight="1" x14ac:dyDescent="0.3">
      <c r="A64" s="19" t="str">
        <f>Responses!A64</f>
        <v>LD78ybv</v>
      </c>
      <c r="B64" s="19" t="str">
        <f>Responses!B64</f>
        <v>eqN4AWO</v>
      </c>
      <c r="C64" s="19">
        <f>Responses!C64</f>
        <v>46136.100046296298</v>
      </c>
      <c r="D64" s="19" t="str">
        <f>Responses!D64</f>
        <v xml:space="preserve">DEWI PUSPITASARI </v>
      </c>
      <c r="E64" s="19" t="str">
        <f>Responses!E64</f>
        <v>XI-2</v>
      </c>
      <c r="F64" s="19">
        <f>Responses!F64</f>
        <v>17</v>
      </c>
      <c r="G64" s="8">
        <f>IF(Responses!AF64="","",IF(Responses!AF64="Selalu",4,IF(Responses!AF64="Sering",3,IF(Responses!AF64="Kadang - Kadang",2,IF(Responses!AF64="Jarang",1,0)))))</f>
        <v>2</v>
      </c>
      <c r="H64" s="8">
        <f>IF(Responses!AG64="","",IF(Responses!AG64="Selalu",4,IF(Responses!AG64="Sering",3,IF(Responses!AG64="Kadang - Kadang",2,IF(Responses!AG64="Jarang",1,0)))))</f>
        <v>1</v>
      </c>
      <c r="I64" s="8">
        <f>IF(Responses!AH64="","",IF(Responses!AH64="Selalu",4,IF(Responses!AH64="Sering",3,IF(Responses!AH64="Kadang - Kadang",2,IF(Responses!AH64="Jarang",1,0)))))</f>
        <v>1</v>
      </c>
      <c r="J64" s="8">
        <f>IF(Responses!AI64="","",IF(Responses!AI64="Selalu",4,IF(Responses!AI64="Sering",3,IF(Responses!AI64="Kadang - Kadang",2,IF(Responses!AI64="Jarang",1,0)))))</f>
        <v>2</v>
      </c>
      <c r="K64" s="8">
        <f>IF(Responses!AJ64="","",IF(Responses!AJ64="Selalu",4,IF(Responses!AJ64="Sering",3,IF(Responses!AJ64="Kadang - Kadang",2,IF(Responses!AJ64="Jarang",1,0)))))</f>
        <v>1</v>
      </c>
      <c r="L64" s="8">
        <f>IF(Responses!AK64="","",IF(Responses!AK64="Selalu",4,IF(Responses!AK64="Sering",3,IF(Responses!AK64="Kadang - Kadang",2,IF(Responses!AK64="Jarang",1,0)))))</f>
        <v>1</v>
      </c>
      <c r="M64" s="8">
        <f>IF(Responses!AL64="","",IF(Responses!AL64="Selalu",4,IF(Responses!AL64="Sering",3,IF(Responses!AL64="Kadang - Kadang",2,IF(Responses!AL64="Jarang",1,0)))))</f>
        <v>2</v>
      </c>
      <c r="N64" s="8">
        <f>IF(Responses!AM64="","",IF(Responses!AM64="Selalu",4,IF(Responses!AM64="Sering",3,IF(Responses!AM64="Kadang - Kadang",2,IF(Responses!AM64="Jarang",1,0)))))</f>
        <v>0</v>
      </c>
      <c r="O64" s="8">
        <f>IF(Responses!AN64="","",IF(Responses!AN64="Selalu",4,IF(Responses!AN64="Sering",3,IF(Responses!AN64="Kadang - Kadang",2,IF(Responses!AN64="Jarang",1,0)))))</f>
        <v>1</v>
      </c>
      <c r="P64" s="8">
        <f>IF(Responses!AO64="","",IF(Responses!AO64="Selalu",4,IF(Responses!AO64="Sering",3,IF(Responses!AO64="Kadang - Kadang",2,IF(Responses!AO64="Jarang",1,0)))))</f>
        <v>2</v>
      </c>
      <c r="Q64" s="8">
        <f>IF(Responses!AP64="","",IF(Responses!AP64="Selalu",4,IF(Responses!AP64="Sering",3,IF(Responses!AP64="Kadang - Kadang",2,IF(Responses!AP64="Jarang",1,0)))))</f>
        <v>1</v>
      </c>
      <c r="R64" s="8">
        <f>IF(Responses!AQ64="","",IF(Responses!AQ64="Selalu",4,IF(Responses!AQ64="Sering",3,IF(Responses!AQ64="Kadang - Kadang",2,IF(Responses!AQ64="Jarang",1,0)))))</f>
        <v>2</v>
      </c>
      <c r="S64" s="8">
        <f>IF(Responses!AR64="","",IF(Responses!AR64="Selalu",4,IF(Responses!AR64="Sering",3,IF(Responses!AR64="Kadang - Kadang",2,IF(Responses!AR64="Jarang",1,0)))))</f>
        <v>2</v>
      </c>
      <c r="T64" s="8">
        <f>IF(Responses!AS64="","",IF(Responses!AS64="Selalu",4,IF(Responses!AS64="Sering",3,IF(Responses!AS64="Kadang - Kadang",2,IF(Responses!AS64="Jarang",1,0)))))</f>
        <v>1</v>
      </c>
      <c r="U64" s="8">
        <f>IF(Responses!AT64="","",IF(Responses!AT64="Selalu",4,IF(Responses!AT64="Sering",3,IF(Responses!AT64="Kadang - Kadang",2,IF(Responses!AT64="Jarang",1,0)))))</f>
        <v>1</v>
      </c>
      <c r="V64" s="8">
        <f>IF(Responses!AU64="","",IF(Responses!AU64="Selalu",4,IF(Responses!AU64="Sering",3,IF(Responses!AU64="Kadang - Kadang",2,IF(Responses!AU64="Jarang",1,0)))))</f>
        <v>1</v>
      </c>
      <c r="W64" s="8">
        <f>IF(Responses!AV64="","",IF(Responses!AV64="Selalu",4,IF(Responses!AV64="Sering",3,IF(Responses!AV64="Kadang - Kadang",2,IF(Responses!AV64="Jarang",1,0)))))</f>
        <v>2</v>
      </c>
      <c r="X64" s="8">
        <f>IF(Responses!AW64="","",IF(Responses!AW64="Selalu",4,IF(Responses!AW64="Sering",3,IF(Responses!AW64="Kadang - Kadang",2,IF(Responses!AW64="Jarang",1,0)))))</f>
        <v>3</v>
      </c>
      <c r="Y64" s="20">
        <f t="shared" si="2"/>
        <v>26</v>
      </c>
      <c r="Z64" s="22" t="str">
        <f t="shared" si="3"/>
        <v>Tidak/Sedikit Kecanduan</v>
      </c>
    </row>
    <row r="65" spans="1:26" x14ac:dyDescent="0.3">
      <c r="A65" s="19" t="str">
        <f>Responses!A65</f>
        <v>aO5WovW</v>
      </c>
      <c r="B65" s="19" t="str">
        <f>Responses!B65</f>
        <v>5BlR24Q</v>
      </c>
      <c r="C65" s="19">
        <f>Responses!C65</f>
        <v>46136.100115740737</v>
      </c>
      <c r="D65" s="19" t="str">
        <f>Responses!D65</f>
        <v>Nur Fadlillah</v>
      </c>
      <c r="E65" s="19" t="str">
        <f>Responses!E65</f>
        <v>XI-2</v>
      </c>
      <c r="F65" s="19">
        <f>Responses!F65</f>
        <v>17</v>
      </c>
      <c r="G65" s="8">
        <f>IF(Responses!AF65="","",IF(Responses!AF65="Selalu",4,IF(Responses!AF65="Sering",3,IF(Responses!AF65="Kadang - Kadang",2,IF(Responses!AF65="Jarang",1,0)))))</f>
        <v>4</v>
      </c>
      <c r="H65" s="8">
        <f>IF(Responses!AG65="","",IF(Responses!AG65="Selalu",4,IF(Responses!AG65="Sering",3,IF(Responses!AG65="Kadang - Kadang",2,IF(Responses!AG65="Jarang",1,0)))))</f>
        <v>2</v>
      </c>
      <c r="I65" s="8">
        <f>IF(Responses!AH65="","",IF(Responses!AH65="Selalu",4,IF(Responses!AH65="Sering",3,IF(Responses!AH65="Kadang - Kadang",2,IF(Responses!AH65="Jarang",1,0)))))</f>
        <v>3</v>
      </c>
      <c r="J65" s="8">
        <f>IF(Responses!AI65="","",IF(Responses!AI65="Selalu",4,IF(Responses!AI65="Sering",3,IF(Responses!AI65="Kadang - Kadang",2,IF(Responses!AI65="Jarang",1,0)))))</f>
        <v>2</v>
      </c>
      <c r="K65" s="8">
        <f>IF(Responses!AJ65="","",IF(Responses!AJ65="Selalu",4,IF(Responses!AJ65="Sering",3,IF(Responses!AJ65="Kadang - Kadang",2,IF(Responses!AJ65="Jarang",1,0)))))</f>
        <v>2</v>
      </c>
      <c r="L65" s="8">
        <f>IF(Responses!AK65="","",IF(Responses!AK65="Selalu",4,IF(Responses!AK65="Sering",3,IF(Responses!AK65="Kadang - Kadang",2,IF(Responses!AK65="Jarang",1,0)))))</f>
        <v>0</v>
      </c>
      <c r="M65" s="8">
        <f>IF(Responses!AL65="","",IF(Responses!AL65="Selalu",4,IF(Responses!AL65="Sering",3,IF(Responses!AL65="Kadang - Kadang",2,IF(Responses!AL65="Jarang",1,0)))))</f>
        <v>0</v>
      </c>
      <c r="N65" s="8">
        <f>IF(Responses!AM65="","",IF(Responses!AM65="Selalu",4,IF(Responses!AM65="Sering",3,IF(Responses!AM65="Kadang - Kadang",2,IF(Responses!AM65="Jarang",1,0)))))</f>
        <v>2</v>
      </c>
      <c r="O65" s="8">
        <f>IF(Responses!AN65="","",IF(Responses!AN65="Selalu",4,IF(Responses!AN65="Sering",3,IF(Responses!AN65="Kadang - Kadang",2,IF(Responses!AN65="Jarang",1,0)))))</f>
        <v>1</v>
      </c>
      <c r="P65" s="8">
        <f>IF(Responses!AO65="","",IF(Responses!AO65="Selalu",4,IF(Responses!AO65="Sering",3,IF(Responses!AO65="Kadang - Kadang",2,IF(Responses!AO65="Jarang",1,0)))))</f>
        <v>1</v>
      </c>
      <c r="Q65" s="8">
        <f>IF(Responses!AP65="","",IF(Responses!AP65="Selalu",4,IF(Responses!AP65="Sering",3,IF(Responses!AP65="Kadang - Kadang",2,IF(Responses!AP65="Jarang",1,0)))))</f>
        <v>2</v>
      </c>
      <c r="R65" s="8">
        <f>IF(Responses!AQ65="","",IF(Responses!AQ65="Selalu",4,IF(Responses!AQ65="Sering",3,IF(Responses!AQ65="Kadang - Kadang",2,IF(Responses!AQ65="Jarang",1,0)))))</f>
        <v>2</v>
      </c>
      <c r="S65" s="8">
        <f>IF(Responses!AR65="","",IF(Responses!AR65="Selalu",4,IF(Responses!AR65="Sering",3,IF(Responses!AR65="Kadang - Kadang",2,IF(Responses!AR65="Jarang",1,0)))))</f>
        <v>2</v>
      </c>
      <c r="T65" s="8">
        <f>IF(Responses!AS65="","",IF(Responses!AS65="Selalu",4,IF(Responses!AS65="Sering",3,IF(Responses!AS65="Kadang - Kadang",2,IF(Responses!AS65="Jarang",1,0)))))</f>
        <v>2</v>
      </c>
      <c r="U65" s="8">
        <f>IF(Responses!AT65="","",IF(Responses!AT65="Selalu",4,IF(Responses!AT65="Sering",3,IF(Responses!AT65="Kadang - Kadang",2,IF(Responses!AT65="Jarang",1,0)))))</f>
        <v>3</v>
      </c>
      <c r="V65" s="8">
        <f>IF(Responses!AU65="","",IF(Responses!AU65="Selalu",4,IF(Responses!AU65="Sering",3,IF(Responses!AU65="Kadang - Kadang",2,IF(Responses!AU65="Jarang",1,0)))))</f>
        <v>2</v>
      </c>
      <c r="W65" s="8">
        <f>IF(Responses!AV65="","",IF(Responses!AV65="Selalu",4,IF(Responses!AV65="Sering",3,IF(Responses!AV65="Kadang - Kadang",2,IF(Responses!AV65="Jarang",1,0)))))</f>
        <v>2</v>
      </c>
      <c r="X65" s="8">
        <f>IF(Responses!AW65="","",IF(Responses!AW65="Selalu",4,IF(Responses!AW65="Sering",3,IF(Responses!AW65="Kadang - Kadang",2,IF(Responses!AW65="Jarang",1,0)))))</f>
        <v>0</v>
      </c>
      <c r="Y65" s="20">
        <f t="shared" si="2"/>
        <v>32</v>
      </c>
      <c r="Z65" s="22" t="str">
        <f t="shared" si="3"/>
        <v>Kecanduan Borderline</v>
      </c>
    </row>
    <row r="66" spans="1:26" ht="24" customHeight="1" x14ac:dyDescent="0.3">
      <c r="A66" s="19" t="str">
        <f>Responses!A66</f>
        <v>laepZ8k</v>
      </c>
      <c r="B66" s="19" t="str">
        <f>Responses!B66</f>
        <v>ja0NxWx</v>
      </c>
      <c r="C66" s="19">
        <f>Responses!C66</f>
        <v>46136.100162037037</v>
      </c>
      <c r="D66" s="19" t="str">
        <f>Responses!D66</f>
        <v>alfad dan nuel</v>
      </c>
      <c r="E66" s="19" t="str">
        <f>Responses!E66</f>
        <v>XI-3</v>
      </c>
      <c r="F66" s="19">
        <f>Responses!F66</f>
        <v>16</v>
      </c>
      <c r="G66" s="8">
        <f>IF(Responses!AF66="","",IF(Responses!AF66="Selalu",4,IF(Responses!AF66="Sering",3,IF(Responses!AF66="Kadang - Kadang",2,IF(Responses!AF66="Jarang",1,0)))))</f>
        <v>0</v>
      </c>
      <c r="H66" s="8">
        <f>IF(Responses!AG66="","",IF(Responses!AG66="Selalu",4,IF(Responses!AG66="Sering",3,IF(Responses!AG66="Kadang - Kadang",2,IF(Responses!AG66="Jarang",1,0)))))</f>
        <v>0</v>
      </c>
      <c r="I66" s="8">
        <f>IF(Responses!AH66="","",IF(Responses!AH66="Selalu",4,IF(Responses!AH66="Sering",3,IF(Responses!AH66="Kadang - Kadang",2,IF(Responses!AH66="Jarang",1,0)))))</f>
        <v>0</v>
      </c>
      <c r="J66" s="8">
        <f>IF(Responses!AI66="","",IF(Responses!AI66="Selalu",4,IF(Responses!AI66="Sering",3,IF(Responses!AI66="Kadang - Kadang",2,IF(Responses!AI66="Jarang",1,0)))))</f>
        <v>2</v>
      </c>
      <c r="K66" s="8">
        <f>IF(Responses!AJ66="","",IF(Responses!AJ66="Selalu",4,IF(Responses!AJ66="Sering",3,IF(Responses!AJ66="Kadang - Kadang",2,IF(Responses!AJ66="Jarang",1,0)))))</f>
        <v>0</v>
      </c>
      <c r="L66" s="8">
        <f>IF(Responses!AK66="","",IF(Responses!AK66="Selalu",4,IF(Responses!AK66="Sering",3,IF(Responses!AK66="Kadang - Kadang",2,IF(Responses!AK66="Jarang",1,0)))))</f>
        <v>0</v>
      </c>
      <c r="M66" s="8">
        <f>IF(Responses!AL66="","",IF(Responses!AL66="Selalu",4,IF(Responses!AL66="Sering",3,IF(Responses!AL66="Kadang - Kadang",2,IF(Responses!AL66="Jarang",1,0)))))</f>
        <v>0</v>
      </c>
      <c r="N66" s="8">
        <f>IF(Responses!AM66="","",IF(Responses!AM66="Selalu",4,IF(Responses!AM66="Sering",3,IF(Responses!AM66="Kadang - Kadang",2,IF(Responses!AM66="Jarang",1,0)))))</f>
        <v>0</v>
      </c>
      <c r="O66" s="8">
        <f>IF(Responses!AN66="","",IF(Responses!AN66="Selalu",4,IF(Responses!AN66="Sering",3,IF(Responses!AN66="Kadang - Kadang",2,IF(Responses!AN66="Jarang",1,0)))))</f>
        <v>0</v>
      </c>
      <c r="P66" s="8">
        <f>IF(Responses!AO66="","",IF(Responses!AO66="Selalu",4,IF(Responses!AO66="Sering",3,IF(Responses!AO66="Kadang - Kadang",2,IF(Responses!AO66="Jarang",1,0)))))</f>
        <v>3</v>
      </c>
      <c r="Q66" s="8">
        <f>IF(Responses!AP66="","",IF(Responses!AP66="Selalu",4,IF(Responses!AP66="Sering",3,IF(Responses!AP66="Kadang - Kadang",2,IF(Responses!AP66="Jarang",1,0)))))</f>
        <v>2</v>
      </c>
      <c r="R66" s="8">
        <f>IF(Responses!AQ66="","",IF(Responses!AQ66="Selalu",4,IF(Responses!AQ66="Sering",3,IF(Responses!AQ66="Kadang - Kadang",2,IF(Responses!AQ66="Jarang",1,0)))))</f>
        <v>3</v>
      </c>
      <c r="S66" s="8">
        <f>IF(Responses!AR66="","",IF(Responses!AR66="Selalu",4,IF(Responses!AR66="Sering",3,IF(Responses!AR66="Kadang - Kadang",2,IF(Responses!AR66="Jarang",1,0)))))</f>
        <v>2</v>
      </c>
      <c r="T66" s="8">
        <f>IF(Responses!AS66="","",IF(Responses!AS66="Selalu",4,IF(Responses!AS66="Sering",3,IF(Responses!AS66="Kadang - Kadang",2,IF(Responses!AS66="Jarang",1,0)))))</f>
        <v>0</v>
      </c>
      <c r="U66" s="8">
        <f>IF(Responses!AT66="","",IF(Responses!AT66="Selalu",4,IF(Responses!AT66="Sering",3,IF(Responses!AT66="Kadang - Kadang",2,IF(Responses!AT66="Jarang",1,0)))))</f>
        <v>4</v>
      </c>
      <c r="V66" s="8">
        <f>IF(Responses!AU66="","",IF(Responses!AU66="Selalu",4,IF(Responses!AU66="Sering",3,IF(Responses!AU66="Kadang - Kadang",2,IF(Responses!AU66="Jarang",1,0)))))</f>
        <v>0</v>
      </c>
      <c r="W66" s="8">
        <f>IF(Responses!AV66="","",IF(Responses!AV66="Selalu",4,IF(Responses!AV66="Sering",3,IF(Responses!AV66="Kadang - Kadang",2,IF(Responses!AV66="Jarang",1,0)))))</f>
        <v>2</v>
      </c>
      <c r="X66" s="8">
        <f>IF(Responses!AW66="","",IF(Responses!AW66="Selalu",4,IF(Responses!AW66="Sering",3,IF(Responses!AW66="Kadang - Kadang",2,IF(Responses!AW66="Jarang",1,0)))))</f>
        <v>2</v>
      </c>
      <c r="Y66" s="20">
        <f t="shared" ref="Y66:Y97" si="4">IF(A66="","",G66+H66+I66+J66+K66+L66+M66+N66+O66+P66+Q66+R66+S66+T66+U66+V66+W66+X66)</f>
        <v>20</v>
      </c>
      <c r="Z66" s="22" t="str">
        <f t="shared" ref="Z66:Z97" si="5">IF(A66="","",IF(Y66&lt;30,"Tidak/Sedikit Kecanduan",IF(Y66&lt;=39,"Kecanduan Borderline",IF(Y66&lt;=59,"Kemungkinan Kecanduan","Kecanduan Signifikan"))))</f>
        <v>Tidak/Sedikit Kecanduan</v>
      </c>
    </row>
    <row r="67" spans="1:26" x14ac:dyDescent="0.3">
      <c r="A67" s="19" t="str">
        <f>Responses!A67</f>
        <v>0VB4gEP</v>
      </c>
      <c r="B67" s="19" t="str">
        <f>Responses!B67</f>
        <v>Pd2KlQx</v>
      </c>
      <c r="C67" s="19">
        <f>Responses!C67</f>
        <v>46136.100474537037</v>
      </c>
      <c r="D67" s="19" t="str">
        <f>Responses!D67</f>
        <v>Kayla Nayma Nursena</v>
      </c>
      <c r="E67" s="19" t="str">
        <f>Responses!E67</f>
        <v>XI-2</v>
      </c>
      <c r="F67" s="19">
        <f>Responses!F67</f>
        <v>16</v>
      </c>
      <c r="G67" s="8">
        <f>IF(Responses!AF67="","",IF(Responses!AF67="Selalu",4,IF(Responses!AF67="Sering",3,IF(Responses!AF67="Kadang - Kadang",2,IF(Responses!AF67="Jarang",1,0)))))</f>
        <v>3</v>
      </c>
      <c r="H67" s="8">
        <f>IF(Responses!AG67="","",IF(Responses!AG67="Selalu",4,IF(Responses!AG67="Sering",3,IF(Responses!AG67="Kadang - Kadang",2,IF(Responses!AG67="Jarang",1,0)))))</f>
        <v>1</v>
      </c>
      <c r="I67" s="8">
        <f>IF(Responses!AH67="","",IF(Responses!AH67="Selalu",4,IF(Responses!AH67="Sering",3,IF(Responses!AH67="Kadang - Kadang",2,IF(Responses!AH67="Jarang",1,0)))))</f>
        <v>1</v>
      </c>
      <c r="J67" s="8">
        <f>IF(Responses!AI67="","",IF(Responses!AI67="Selalu",4,IF(Responses!AI67="Sering",3,IF(Responses!AI67="Kadang - Kadang",2,IF(Responses!AI67="Jarang",1,0)))))</f>
        <v>2</v>
      </c>
      <c r="K67" s="8">
        <f>IF(Responses!AJ67="","",IF(Responses!AJ67="Selalu",4,IF(Responses!AJ67="Sering",3,IF(Responses!AJ67="Kadang - Kadang",2,IF(Responses!AJ67="Jarang",1,0)))))</f>
        <v>2</v>
      </c>
      <c r="L67" s="8">
        <f>IF(Responses!AK67="","",IF(Responses!AK67="Selalu",4,IF(Responses!AK67="Sering",3,IF(Responses!AK67="Kadang - Kadang",2,IF(Responses!AK67="Jarang",1,0)))))</f>
        <v>2</v>
      </c>
      <c r="M67" s="8">
        <f>IF(Responses!AL67="","",IF(Responses!AL67="Selalu",4,IF(Responses!AL67="Sering",3,IF(Responses!AL67="Kadang - Kadang",2,IF(Responses!AL67="Jarang",1,0)))))</f>
        <v>1</v>
      </c>
      <c r="N67" s="8">
        <f>IF(Responses!AM67="","",IF(Responses!AM67="Selalu",4,IF(Responses!AM67="Sering",3,IF(Responses!AM67="Kadang - Kadang",2,IF(Responses!AM67="Jarang",1,0)))))</f>
        <v>2</v>
      </c>
      <c r="O67" s="8">
        <f>IF(Responses!AN67="","",IF(Responses!AN67="Selalu",4,IF(Responses!AN67="Sering",3,IF(Responses!AN67="Kadang - Kadang",2,IF(Responses!AN67="Jarang",1,0)))))</f>
        <v>3</v>
      </c>
      <c r="P67" s="8">
        <f>IF(Responses!AO67="","",IF(Responses!AO67="Selalu",4,IF(Responses!AO67="Sering",3,IF(Responses!AO67="Kadang - Kadang",2,IF(Responses!AO67="Jarang",1,0)))))</f>
        <v>2</v>
      </c>
      <c r="Q67" s="8">
        <f>IF(Responses!AP67="","",IF(Responses!AP67="Selalu",4,IF(Responses!AP67="Sering",3,IF(Responses!AP67="Kadang - Kadang",2,IF(Responses!AP67="Jarang",1,0)))))</f>
        <v>2</v>
      </c>
      <c r="R67" s="8">
        <f>IF(Responses!AQ67="","",IF(Responses!AQ67="Selalu",4,IF(Responses!AQ67="Sering",3,IF(Responses!AQ67="Kadang - Kadang",2,IF(Responses!AQ67="Jarang",1,0)))))</f>
        <v>2</v>
      </c>
      <c r="S67" s="8">
        <f>IF(Responses!AR67="","",IF(Responses!AR67="Selalu",4,IF(Responses!AR67="Sering",3,IF(Responses!AR67="Kadang - Kadang",2,IF(Responses!AR67="Jarang",1,0)))))</f>
        <v>2</v>
      </c>
      <c r="T67" s="8">
        <f>IF(Responses!AS67="","",IF(Responses!AS67="Selalu",4,IF(Responses!AS67="Sering",3,IF(Responses!AS67="Kadang - Kadang",2,IF(Responses!AS67="Jarang",1,0)))))</f>
        <v>1</v>
      </c>
      <c r="U67" s="8">
        <f>IF(Responses!AT67="","",IF(Responses!AT67="Selalu",4,IF(Responses!AT67="Sering",3,IF(Responses!AT67="Kadang - Kadang",2,IF(Responses!AT67="Jarang",1,0)))))</f>
        <v>2</v>
      </c>
      <c r="V67" s="8">
        <f>IF(Responses!AU67="","",IF(Responses!AU67="Selalu",4,IF(Responses!AU67="Sering",3,IF(Responses!AU67="Kadang - Kadang",2,IF(Responses!AU67="Jarang",1,0)))))</f>
        <v>2</v>
      </c>
      <c r="W67" s="8">
        <f>IF(Responses!AV67="","",IF(Responses!AV67="Selalu",4,IF(Responses!AV67="Sering",3,IF(Responses!AV67="Kadang - Kadang",2,IF(Responses!AV67="Jarang",1,0)))))</f>
        <v>2</v>
      </c>
      <c r="X67" s="8">
        <f>IF(Responses!AW67="","",IF(Responses!AW67="Selalu",4,IF(Responses!AW67="Sering",3,IF(Responses!AW67="Kadang - Kadang",2,IF(Responses!AW67="Jarang",1,0)))))</f>
        <v>1</v>
      </c>
      <c r="Y67" s="20">
        <f t="shared" si="4"/>
        <v>33</v>
      </c>
      <c r="Z67" s="22" t="str">
        <f t="shared" si="5"/>
        <v>Kecanduan Borderline</v>
      </c>
    </row>
    <row r="68" spans="1:26" ht="24" customHeight="1" x14ac:dyDescent="0.3">
      <c r="A68" s="19" t="str">
        <f>Responses!A68</f>
        <v>q5DyXDY</v>
      </c>
      <c r="B68" s="19" t="str">
        <f>Responses!B68</f>
        <v>pb0aW5q</v>
      </c>
      <c r="C68" s="19">
        <f>Responses!C68</f>
        <v>46136.100648148153</v>
      </c>
      <c r="D68" s="19" t="str">
        <f>Responses!D68</f>
        <v>Dyah Ayu</v>
      </c>
      <c r="E68" s="19" t="str">
        <f>Responses!E68</f>
        <v>XI-2</v>
      </c>
      <c r="F68" s="19">
        <f>Responses!F68</f>
        <v>17</v>
      </c>
      <c r="G68" s="8">
        <f>IF(Responses!AF68="","",IF(Responses!AF68="Selalu",4,IF(Responses!AF68="Sering",3,IF(Responses!AF68="Kadang - Kadang",2,IF(Responses!AF68="Jarang",1,0)))))</f>
        <v>2</v>
      </c>
      <c r="H68" s="8">
        <f>IF(Responses!AG68="","",IF(Responses!AG68="Selalu",4,IF(Responses!AG68="Sering",3,IF(Responses!AG68="Kadang - Kadang",2,IF(Responses!AG68="Jarang",1,0)))))</f>
        <v>1</v>
      </c>
      <c r="I68" s="8">
        <f>IF(Responses!AH68="","",IF(Responses!AH68="Selalu",4,IF(Responses!AH68="Sering",3,IF(Responses!AH68="Kadang - Kadang",2,IF(Responses!AH68="Jarang",1,0)))))</f>
        <v>1</v>
      </c>
      <c r="J68" s="8">
        <f>IF(Responses!AI68="","",IF(Responses!AI68="Selalu",4,IF(Responses!AI68="Sering",3,IF(Responses!AI68="Kadang - Kadang",2,IF(Responses!AI68="Jarang",1,0)))))</f>
        <v>0</v>
      </c>
      <c r="K68" s="8">
        <f>IF(Responses!AJ68="","",IF(Responses!AJ68="Selalu",4,IF(Responses!AJ68="Sering",3,IF(Responses!AJ68="Kadang - Kadang",2,IF(Responses!AJ68="Jarang",1,0)))))</f>
        <v>0</v>
      </c>
      <c r="L68" s="8">
        <f>IF(Responses!AK68="","",IF(Responses!AK68="Selalu",4,IF(Responses!AK68="Sering",3,IF(Responses!AK68="Kadang - Kadang",2,IF(Responses!AK68="Jarang",1,0)))))</f>
        <v>0</v>
      </c>
      <c r="M68" s="8">
        <f>IF(Responses!AL68="","",IF(Responses!AL68="Selalu",4,IF(Responses!AL68="Sering",3,IF(Responses!AL68="Kadang - Kadang",2,IF(Responses!AL68="Jarang",1,0)))))</f>
        <v>1</v>
      </c>
      <c r="N68" s="8">
        <f>IF(Responses!AM68="","",IF(Responses!AM68="Selalu",4,IF(Responses!AM68="Sering",3,IF(Responses!AM68="Kadang - Kadang",2,IF(Responses!AM68="Jarang",1,0)))))</f>
        <v>1</v>
      </c>
      <c r="O68" s="8">
        <f>IF(Responses!AN68="","",IF(Responses!AN68="Selalu",4,IF(Responses!AN68="Sering",3,IF(Responses!AN68="Kadang - Kadang",2,IF(Responses!AN68="Jarang",1,0)))))</f>
        <v>0</v>
      </c>
      <c r="P68" s="8">
        <f>IF(Responses!AO68="","",IF(Responses!AO68="Selalu",4,IF(Responses!AO68="Sering",3,IF(Responses!AO68="Kadang - Kadang",2,IF(Responses!AO68="Jarang",1,0)))))</f>
        <v>0</v>
      </c>
      <c r="Q68" s="8">
        <f>IF(Responses!AP68="","",IF(Responses!AP68="Selalu",4,IF(Responses!AP68="Sering",3,IF(Responses!AP68="Kadang - Kadang",2,IF(Responses!AP68="Jarang",1,0)))))</f>
        <v>2</v>
      </c>
      <c r="R68" s="8">
        <f>IF(Responses!AQ68="","",IF(Responses!AQ68="Selalu",4,IF(Responses!AQ68="Sering",3,IF(Responses!AQ68="Kadang - Kadang",2,IF(Responses!AQ68="Jarang",1,0)))))</f>
        <v>2</v>
      </c>
      <c r="S68" s="8">
        <f>IF(Responses!AR68="","",IF(Responses!AR68="Selalu",4,IF(Responses!AR68="Sering",3,IF(Responses!AR68="Kadang - Kadang",2,IF(Responses!AR68="Jarang",1,0)))))</f>
        <v>2</v>
      </c>
      <c r="T68" s="8">
        <f>IF(Responses!AS68="","",IF(Responses!AS68="Selalu",4,IF(Responses!AS68="Sering",3,IF(Responses!AS68="Kadang - Kadang",2,IF(Responses!AS68="Jarang",1,0)))))</f>
        <v>1</v>
      </c>
      <c r="U68" s="8">
        <f>IF(Responses!AT68="","",IF(Responses!AT68="Selalu",4,IF(Responses!AT68="Sering",3,IF(Responses!AT68="Kadang - Kadang",2,IF(Responses!AT68="Jarang",1,0)))))</f>
        <v>1</v>
      </c>
      <c r="V68" s="8">
        <f>IF(Responses!AU68="","",IF(Responses!AU68="Selalu",4,IF(Responses!AU68="Sering",3,IF(Responses!AU68="Kadang - Kadang",2,IF(Responses!AU68="Jarang",1,0)))))</f>
        <v>0</v>
      </c>
      <c r="W68" s="8">
        <f>IF(Responses!AV68="","",IF(Responses!AV68="Selalu",4,IF(Responses!AV68="Sering",3,IF(Responses!AV68="Kadang - Kadang",2,IF(Responses!AV68="Jarang",1,0)))))</f>
        <v>1</v>
      </c>
      <c r="X68" s="8">
        <f>IF(Responses!AW68="","",IF(Responses!AW68="Selalu",4,IF(Responses!AW68="Sering",3,IF(Responses!AW68="Kadang - Kadang",2,IF(Responses!AW68="Jarang",1,0)))))</f>
        <v>3</v>
      </c>
      <c r="Y68" s="20">
        <f t="shared" si="4"/>
        <v>18</v>
      </c>
      <c r="Z68" s="22" t="str">
        <f t="shared" si="5"/>
        <v>Tidak/Sedikit Kecanduan</v>
      </c>
    </row>
    <row r="69" spans="1:26" x14ac:dyDescent="0.3">
      <c r="A69" s="19" t="str">
        <f>Responses!A69</f>
        <v>yX2Oro8</v>
      </c>
      <c r="B69" s="19" t="str">
        <f>Responses!B69</f>
        <v>pb0aWl1</v>
      </c>
      <c r="C69" s="19">
        <f>Responses!C69</f>
        <v>46136.100729166668</v>
      </c>
      <c r="D69" s="19" t="str">
        <f>Responses!D69</f>
        <v xml:space="preserve">shelva ayu oktabella </v>
      </c>
      <c r="E69" s="19" t="str">
        <f>Responses!E69</f>
        <v>XI-3</v>
      </c>
      <c r="F69" s="19">
        <f>Responses!F69</f>
        <v>17</v>
      </c>
      <c r="G69" s="8">
        <f>IF(Responses!AF69="","",IF(Responses!AF69="Selalu",4,IF(Responses!AF69="Sering",3,IF(Responses!AF69="Kadang - Kadang",2,IF(Responses!AF69="Jarang",1,0)))))</f>
        <v>2</v>
      </c>
      <c r="H69" s="8">
        <f>IF(Responses!AG69="","",IF(Responses!AG69="Selalu",4,IF(Responses!AG69="Sering",3,IF(Responses!AG69="Kadang - Kadang",2,IF(Responses!AG69="Jarang",1,0)))))</f>
        <v>1</v>
      </c>
      <c r="I69" s="8">
        <f>IF(Responses!AH69="","",IF(Responses!AH69="Selalu",4,IF(Responses!AH69="Sering",3,IF(Responses!AH69="Kadang - Kadang",2,IF(Responses!AH69="Jarang",1,0)))))</f>
        <v>2</v>
      </c>
      <c r="J69" s="8">
        <f>IF(Responses!AI69="","",IF(Responses!AI69="Selalu",4,IF(Responses!AI69="Sering",3,IF(Responses!AI69="Kadang - Kadang",2,IF(Responses!AI69="Jarang",1,0)))))</f>
        <v>1</v>
      </c>
      <c r="K69" s="8">
        <f>IF(Responses!AJ69="","",IF(Responses!AJ69="Selalu",4,IF(Responses!AJ69="Sering",3,IF(Responses!AJ69="Kadang - Kadang",2,IF(Responses!AJ69="Jarang",1,0)))))</f>
        <v>2</v>
      </c>
      <c r="L69" s="8">
        <f>IF(Responses!AK69="","",IF(Responses!AK69="Selalu",4,IF(Responses!AK69="Sering",3,IF(Responses!AK69="Kadang - Kadang",2,IF(Responses!AK69="Jarang",1,0)))))</f>
        <v>3</v>
      </c>
      <c r="M69" s="8">
        <f>IF(Responses!AL69="","",IF(Responses!AL69="Selalu",4,IF(Responses!AL69="Sering",3,IF(Responses!AL69="Kadang - Kadang",2,IF(Responses!AL69="Jarang",1,0)))))</f>
        <v>2</v>
      </c>
      <c r="N69" s="8">
        <f>IF(Responses!AM69="","",IF(Responses!AM69="Selalu",4,IF(Responses!AM69="Sering",3,IF(Responses!AM69="Kadang - Kadang",2,IF(Responses!AM69="Jarang",1,0)))))</f>
        <v>2</v>
      </c>
      <c r="O69" s="8">
        <f>IF(Responses!AN69="","",IF(Responses!AN69="Selalu",4,IF(Responses!AN69="Sering",3,IF(Responses!AN69="Kadang - Kadang",2,IF(Responses!AN69="Jarang",1,0)))))</f>
        <v>1</v>
      </c>
      <c r="P69" s="8">
        <f>IF(Responses!AO69="","",IF(Responses!AO69="Selalu",4,IF(Responses!AO69="Sering",3,IF(Responses!AO69="Kadang - Kadang",2,IF(Responses!AO69="Jarang",1,0)))))</f>
        <v>3</v>
      </c>
      <c r="Q69" s="8">
        <f>IF(Responses!AP69="","",IF(Responses!AP69="Selalu",4,IF(Responses!AP69="Sering",3,IF(Responses!AP69="Kadang - Kadang",2,IF(Responses!AP69="Jarang",1,0)))))</f>
        <v>1</v>
      </c>
      <c r="R69" s="8">
        <f>IF(Responses!AQ69="","",IF(Responses!AQ69="Selalu",4,IF(Responses!AQ69="Sering",3,IF(Responses!AQ69="Kadang - Kadang",2,IF(Responses!AQ69="Jarang",1,0)))))</f>
        <v>2</v>
      </c>
      <c r="S69" s="8">
        <f>IF(Responses!AR69="","",IF(Responses!AR69="Selalu",4,IF(Responses!AR69="Sering",3,IF(Responses!AR69="Kadang - Kadang",2,IF(Responses!AR69="Jarang",1,0)))))</f>
        <v>3</v>
      </c>
      <c r="T69" s="8">
        <f>IF(Responses!AS69="","",IF(Responses!AS69="Selalu",4,IF(Responses!AS69="Sering",3,IF(Responses!AS69="Kadang - Kadang",2,IF(Responses!AS69="Jarang",1,0)))))</f>
        <v>1</v>
      </c>
      <c r="U69" s="8">
        <f>IF(Responses!AT69="","",IF(Responses!AT69="Selalu",4,IF(Responses!AT69="Sering",3,IF(Responses!AT69="Kadang - Kadang",2,IF(Responses!AT69="Jarang",1,0)))))</f>
        <v>3</v>
      </c>
      <c r="V69" s="8">
        <f>IF(Responses!AU69="","",IF(Responses!AU69="Selalu",4,IF(Responses!AU69="Sering",3,IF(Responses!AU69="Kadang - Kadang",2,IF(Responses!AU69="Jarang",1,0)))))</f>
        <v>1</v>
      </c>
      <c r="W69" s="8">
        <f>IF(Responses!AV69="","",IF(Responses!AV69="Selalu",4,IF(Responses!AV69="Sering",3,IF(Responses!AV69="Kadang - Kadang",2,IF(Responses!AV69="Jarang",1,0)))))</f>
        <v>0</v>
      </c>
      <c r="X69" s="8">
        <f>IF(Responses!AW69="","",IF(Responses!AW69="Selalu",4,IF(Responses!AW69="Sering",3,IF(Responses!AW69="Kadang - Kadang",2,IF(Responses!AW69="Jarang",1,0)))))</f>
        <v>1</v>
      </c>
      <c r="Y69" s="20">
        <f t="shared" si="4"/>
        <v>31</v>
      </c>
      <c r="Z69" s="22" t="str">
        <f t="shared" si="5"/>
        <v>Kecanduan Borderline</v>
      </c>
    </row>
    <row r="70" spans="1:26" ht="24" customHeight="1" x14ac:dyDescent="0.3">
      <c r="A70" s="19" t="str">
        <f>Responses!A70</f>
        <v>5XjNorE</v>
      </c>
      <c r="B70" s="19" t="str">
        <f>Responses!B70</f>
        <v>pb0a7rB</v>
      </c>
      <c r="C70" s="19">
        <f>Responses!C70</f>
        <v>46136.100752314807</v>
      </c>
      <c r="D70" s="19" t="str">
        <f>Responses!D70</f>
        <v>Ferrely Shidqi Aqila Arif</v>
      </c>
      <c r="E70" s="19" t="str">
        <f>Responses!E70</f>
        <v>XI-3</v>
      </c>
      <c r="F70" s="19">
        <f>Responses!F70</f>
        <v>17</v>
      </c>
      <c r="G70" s="8">
        <f>IF(Responses!AF70="","",IF(Responses!AF70="Selalu",4,IF(Responses!AF70="Sering",3,IF(Responses!AF70="Kadang - Kadang",2,IF(Responses!AF70="Jarang",1,0)))))</f>
        <v>3</v>
      </c>
      <c r="H70" s="8">
        <f>IF(Responses!AG70="","",IF(Responses!AG70="Selalu",4,IF(Responses!AG70="Sering",3,IF(Responses!AG70="Kadang - Kadang",2,IF(Responses!AG70="Jarang",1,0)))))</f>
        <v>1</v>
      </c>
      <c r="I70" s="8">
        <f>IF(Responses!AH70="","",IF(Responses!AH70="Selalu",4,IF(Responses!AH70="Sering",3,IF(Responses!AH70="Kadang - Kadang",2,IF(Responses!AH70="Jarang",1,0)))))</f>
        <v>1</v>
      </c>
      <c r="J70" s="8">
        <f>IF(Responses!AI70="","",IF(Responses!AI70="Selalu",4,IF(Responses!AI70="Sering",3,IF(Responses!AI70="Kadang - Kadang",2,IF(Responses!AI70="Jarang",1,0)))))</f>
        <v>0</v>
      </c>
      <c r="K70" s="8">
        <f>IF(Responses!AJ70="","",IF(Responses!AJ70="Selalu",4,IF(Responses!AJ70="Sering",3,IF(Responses!AJ70="Kadang - Kadang",2,IF(Responses!AJ70="Jarang",1,0)))))</f>
        <v>4</v>
      </c>
      <c r="L70" s="8">
        <f>IF(Responses!AK70="","",IF(Responses!AK70="Selalu",4,IF(Responses!AK70="Sering",3,IF(Responses!AK70="Kadang - Kadang",2,IF(Responses!AK70="Jarang",1,0)))))</f>
        <v>1</v>
      </c>
      <c r="M70" s="8">
        <f>IF(Responses!AL70="","",IF(Responses!AL70="Selalu",4,IF(Responses!AL70="Sering",3,IF(Responses!AL70="Kadang - Kadang",2,IF(Responses!AL70="Jarang",1,0)))))</f>
        <v>2</v>
      </c>
      <c r="N70" s="8">
        <f>IF(Responses!AM70="","",IF(Responses!AM70="Selalu",4,IF(Responses!AM70="Sering",3,IF(Responses!AM70="Kadang - Kadang",2,IF(Responses!AM70="Jarang",1,0)))))</f>
        <v>3</v>
      </c>
      <c r="O70" s="8">
        <f>IF(Responses!AN70="","",IF(Responses!AN70="Selalu",4,IF(Responses!AN70="Sering",3,IF(Responses!AN70="Kadang - Kadang",2,IF(Responses!AN70="Jarang",1,0)))))</f>
        <v>0</v>
      </c>
      <c r="P70" s="8">
        <f>IF(Responses!AO70="","",IF(Responses!AO70="Selalu",4,IF(Responses!AO70="Sering",3,IF(Responses!AO70="Kadang - Kadang",2,IF(Responses!AO70="Jarang",1,0)))))</f>
        <v>1</v>
      </c>
      <c r="Q70" s="8">
        <f>IF(Responses!AP70="","",IF(Responses!AP70="Selalu",4,IF(Responses!AP70="Sering",3,IF(Responses!AP70="Kadang - Kadang",2,IF(Responses!AP70="Jarang",1,0)))))</f>
        <v>0</v>
      </c>
      <c r="R70" s="8">
        <f>IF(Responses!AQ70="","",IF(Responses!AQ70="Selalu",4,IF(Responses!AQ70="Sering",3,IF(Responses!AQ70="Kadang - Kadang",2,IF(Responses!AQ70="Jarang",1,0)))))</f>
        <v>0</v>
      </c>
      <c r="S70" s="8">
        <f>IF(Responses!AR70="","",IF(Responses!AR70="Selalu",4,IF(Responses!AR70="Sering",3,IF(Responses!AR70="Kadang - Kadang",2,IF(Responses!AR70="Jarang",1,0)))))</f>
        <v>1</v>
      </c>
      <c r="T70" s="8">
        <f>IF(Responses!AS70="","",IF(Responses!AS70="Selalu",4,IF(Responses!AS70="Sering",3,IF(Responses!AS70="Kadang - Kadang",2,IF(Responses!AS70="Jarang",1,0)))))</f>
        <v>0</v>
      </c>
      <c r="U70" s="8">
        <f>IF(Responses!AT70="","",IF(Responses!AT70="Selalu",4,IF(Responses!AT70="Sering",3,IF(Responses!AT70="Kadang - Kadang",2,IF(Responses!AT70="Jarang",1,0)))))</f>
        <v>3</v>
      </c>
      <c r="V70" s="8">
        <f>IF(Responses!AU70="","",IF(Responses!AU70="Selalu",4,IF(Responses!AU70="Sering",3,IF(Responses!AU70="Kadang - Kadang",2,IF(Responses!AU70="Jarang",1,0)))))</f>
        <v>0</v>
      </c>
      <c r="W70" s="8">
        <f>IF(Responses!AV70="","",IF(Responses!AV70="Selalu",4,IF(Responses!AV70="Sering",3,IF(Responses!AV70="Kadang - Kadang",2,IF(Responses!AV70="Jarang",1,0)))))</f>
        <v>1</v>
      </c>
      <c r="X70" s="8">
        <f>IF(Responses!AW70="","",IF(Responses!AW70="Selalu",4,IF(Responses!AW70="Sering",3,IF(Responses!AW70="Kadang - Kadang",2,IF(Responses!AW70="Jarang",1,0)))))</f>
        <v>2</v>
      </c>
      <c r="Y70" s="20">
        <f t="shared" si="4"/>
        <v>23</v>
      </c>
      <c r="Z70" s="22" t="str">
        <f t="shared" si="5"/>
        <v>Tidak/Sedikit Kecanduan</v>
      </c>
    </row>
    <row r="71" spans="1:26" ht="24" customHeight="1" x14ac:dyDescent="0.3">
      <c r="A71" s="19" t="str">
        <f>Responses!A71</f>
        <v>WJE46Rv</v>
      </c>
      <c r="B71" s="19" t="str">
        <f>Responses!B71</f>
        <v>vG0kOgl</v>
      </c>
      <c r="C71" s="19">
        <f>Responses!C71</f>
        <v>46136.100868055553</v>
      </c>
      <c r="D71" s="19" t="str">
        <f>Responses!D71</f>
        <v xml:space="preserve">Angelin Damai Gracea </v>
      </c>
      <c r="E71" s="19" t="str">
        <f>Responses!E71</f>
        <v>XI-3</v>
      </c>
      <c r="F71" s="19">
        <f>Responses!F71</f>
        <v>17</v>
      </c>
      <c r="G71" s="8">
        <f>IF(Responses!AF71="","",IF(Responses!AF71="Selalu",4,IF(Responses!AF71="Sering",3,IF(Responses!AF71="Kadang - Kadang",2,IF(Responses!AF71="Jarang",1,0)))))</f>
        <v>2</v>
      </c>
      <c r="H71" s="8">
        <f>IF(Responses!AG71="","",IF(Responses!AG71="Selalu",4,IF(Responses!AG71="Sering",3,IF(Responses!AG71="Kadang - Kadang",2,IF(Responses!AG71="Jarang",1,0)))))</f>
        <v>1</v>
      </c>
      <c r="I71" s="8">
        <f>IF(Responses!AH71="","",IF(Responses!AH71="Selalu",4,IF(Responses!AH71="Sering",3,IF(Responses!AH71="Kadang - Kadang",2,IF(Responses!AH71="Jarang",1,0)))))</f>
        <v>0</v>
      </c>
      <c r="J71" s="8">
        <f>IF(Responses!AI71="","",IF(Responses!AI71="Selalu",4,IF(Responses!AI71="Sering",3,IF(Responses!AI71="Kadang - Kadang",2,IF(Responses!AI71="Jarang",1,0)))))</f>
        <v>0</v>
      </c>
      <c r="K71" s="8">
        <f>IF(Responses!AJ71="","",IF(Responses!AJ71="Selalu",4,IF(Responses!AJ71="Sering",3,IF(Responses!AJ71="Kadang - Kadang",2,IF(Responses!AJ71="Jarang",1,0)))))</f>
        <v>0</v>
      </c>
      <c r="L71" s="8">
        <f>IF(Responses!AK71="","",IF(Responses!AK71="Selalu",4,IF(Responses!AK71="Sering",3,IF(Responses!AK71="Kadang - Kadang",2,IF(Responses!AK71="Jarang",1,0)))))</f>
        <v>0</v>
      </c>
      <c r="M71" s="8">
        <f>IF(Responses!AL71="","",IF(Responses!AL71="Selalu",4,IF(Responses!AL71="Sering",3,IF(Responses!AL71="Kadang - Kadang",2,IF(Responses!AL71="Jarang",1,0)))))</f>
        <v>0</v>
      </c>
      <c r="N71" s="8">
        <f>IF(Responses!AM71="","",IF(Responses!AM71="Selalu",4,IF(Responses!AM71="Sering",3,IF(Responses!AM71="Kadang - Kadang",2,IF(Responses!AM71="Jarang",1,0)))))</f>
        <v>1</v>
      </c>
      <c r="O71" s="8">
        <f>IF(Responses!AN71="","",IF(Responses!AN71="Selalu",4,IF(Responses!AN71="Sering",3,IF(Responses!AN71="Kadang - Kadang",2,IF(Responses!AN71="Jarang",1,0)))))</f>
        <v>1</v>
      </c>
      <c r="P71" s="8">
        <f>IF(Responses!AO71="","",IF(Responses!AO71="Selalu",4,IF(Responses!AO71="Sering",3,IF(Responses!AO71="Kadang - Kadang",2,IF(Responses!AO71="Jarang",1,0)))))</f>
        <v>1</v>
      </c>
      <c r="Q71" s="8">
        <f>IF(Responses!AP71="","",IF(Responses!AP71="Selalu",4,IF(Responses!AP71="Sering",3,IF(Responses!AP71="Kadang - Kadang",2,IF(Responses!AP71="Jarang",1,0)))))</f>
        <v>0</v>
      </c>
      <c r="R71" s="8">
        <f>IF(Responses!AQ71="","",IF(Responses!AQ71="Selalu",4,IF(Responses!AQ71="Sering",3,IF(Responses!AQ71="Kadang - Kadang",2,IF(Responses!AQ71="Jarang",1,0)))))</f>
        <v>0</v>
      </c>
      <c r="S71" s="8">
        <f>IF(Responses!AR71="","",IF(Responses!AR71="Selalu",4,IF(Responses!AR71="Sering",3,IF(Responses!AR71="Kadang - Kadang",2,IF(Responses!AR71="Jarang",1,0)))))</f>
        <v>0</v>
      </c>
      <c r="T71" s="8">
        <f>IF(Responses!AS71="","",IF(Responses!AS71="Selalu",4,IF(Responses!AS71="Sering",3,IF(Responses!AS71="Kadang - Kadang",2,IF(Responses!AS71="Jarang",1,0)))))</f>
        <v>0</v>
      </c>
      <c r="U71" s="8">
        <f>IF(Responses!AT71="","",IF(Responses!AT71="Selalu",4,IF(Responses!AT71="Sering",3,IF(Responses!AT71="Kadang - Kadang",2,IF(Responses!AT71="Jarang",1,0)))))</f>
        <v>2</v>
      </c>
      <c r="V71" s="8">
        <f>IF(Responses!AU71="","",IF(Responses!AU71="Selalu",4,IF(Responses!AU71="Sering",3,IF(Responses!AU71="Kadang - Kadang",2,IF(Responses!AU71="Jarang",1,0)))))</f>
        <v>1</v>
      </c>
      <c r="W71" s="8">
        <f>IF(Responses!AV71="","",IF(Responses!AV71="Selalu",4,IF(Responses!AV71="Sering",3,IF(Responses!AV71="Kadang - Kadang",2,IF(Responses!AV71="Jarang",1,0)))))</f>
        <v>2</v>
      </c>
      <c r="X71" s="8">
        <f>IF(Responses!AW71="","",IF(Responses!AW71="Selalu",4,IF(Responses!AW71="Sering",3,IF(Responses!AW71="Kadang - Kadang",2,IF(Responses!AW71="Jarang",1,0)))))</f>
        <v>1</v>
      </c>
      <c r="Y71" s="20">
        <f t="shared" si="4"/>
        <v>12</v>
      </c>
      <c r="Z71" s="22" t="str">
        <f t="shared" si="5"/>
        <v>Tidak/Sedikit Kecanduan</v>
      </c>
    </row>
    <row r="72" spans="1:26" ht="24" customHeight="1" x14ac:dyDescent="0.3">
      <c r="A72" s="19" t="str">
        <f>Responses!A72</f>
        <v>1WdjYbO</v>
      </c>
      <c r="B72" s="19" t="str">
        <f>Responses!B72</f>
        <v>7RJGVyL</v>
      </c>
      <c r="C72" s="19">
        <f>Responses!C72</f>
        <v>46136.100925925923</v>
      </c>
      <c r="D72" s="19" t="str">
        <f>Responses!D72</f>
        <v>Rachel Okta Fiona</v>
      </c>
      <c r="E72" s="19" t="str">
        <f>Responses!E72</f>
        <v>XI-3</v>
      </c>
      <c r="F72" s="19">
        <f>Responses!F72</f>
        <v>17</v>
      </c>
      <c r="G72" s="8">
        <f>IF(Responses!AF72="","",IF(Responses!AF72="Selalu",4,IF(Responses!AF72="Sering",3,IF(Responses!AF72="Kadang - Kadang",2,IF(Responses!AF72="Jarang",1,0)))))</f>
        <v>3</v>
      </c>
      <c r="H72" s="8">
        <f>IF(Responses!AG72="","",IF(Responses!AG72="Selalu",4,IF(Responses!AG72="Sering",3,IF(Responses!AG72="Kadang - Kadang",2,IF(Responses!AG72="Jarang",1,0)))))</f>
        <v>0</v>
      </c>
      <c r="I72" s="8">
        <f>IF(Responses!AH72="","",IF(Responses!AH72="Selalu",4,IF(Responses!AH72="Sering",3,IF(Responses!AH72="Kadang - Kadang",2,IF(Responses!AH72="Jarang",1,0)))))</f>
        <v>1</v>
      </c>
      <c r="J72" s="8">
        <f>IF(Responses!AI72="","",IF(Responses!AI72="Selalu",4,IF(Responses!AI72="Sering",3,IF(Responses!AI72="Kadang - Kadang",2,IF(Responses!AI72="Jarang",1,0)))))</f>
        <v>2</v>
      </c>
      <c r="K72" s="8">
        <f>IF(Responses!AJ72="","",IF(Responses!AJ72="Selalu",4,IF(Responses!AJ72="Sering",3,IF(Responses!AJ72="Kadang - Kadang",2,IF(Responses!AJ72="Jarang",1,0)))))</f>
        <v>0</v>
      </c>
      <c r="L72" s="8">
        <f>IF(Responses!AK72="","",IF(Responses!AK72="Selalu",4,IF(Responses!AK72="Sering",3,IF(Responses!AK72="Kadang - Kadang",2,IF(Responses!AK72="Jarang",1,0)))))</f>
        <v>0</v>
      </c>
      <c r="M72" s="8">
        <f>IF(Responses!AL72="","",IF(Responses!AL72="Selalu",4,IF(Responses!AL72="Sering",3,IF(Responses!AL72="Kadang - Kadang",2,IF(Responses!AL72="Jarang",1,0)))))</f>
        <v>0</v>
      </c>
      <c r="N72" s="8">
        <f>IF(Responses!AM72="","",IF(Responses!AM72="Selalu",4,IF(Responses!AM72="Sering",3,IF(Responses!AM72="Kadang - Kadang",2,IF(Responses!AM72="Jarang",1,0)))))</f>
        <v>4</v>
      </c>
      <c r="O72" s="8">
        <f>IF(Responses!AN72="","",IF(Responses!AN72="Selalu",4,IF(Responses!AN72="Sering",3,IF(Responses!AN72="Kadang - Kadang",2,IF(Responses!AN72="Jarang",1,0)))))</f>
        <v>0</v>
      </c>
      <c r="P72" s="8">
        <f>IF(Responses!AO72="","",IF(Responses!AO72="Selalu",4,IF(Responses!AO72="Sering",3,IF(Responses!AO72="Kadang - Kadang",2,IF(Responses!AO72="Jarang",1,0)))))</f>
        <v>2</v>
      </c>
      <c r="Q72" s="8">
        <f>IF(Responses!AP72="","",IF(Responses!AP72="Selalu",4,IF(Responses!AP72="Sering",3,IF(Responses!AP72="Kadang - Kadang",2,IF(Responses!AP72="Jarang",1,0)))))</f>
        <v>0</v>
      </c>
      <c r="R72" s="8">
        <f>IF(Responses!AQ72="","",IF(Responses!AQ72="Selalu",4,IF(Responses!AQ72="Sering",3,IF(Responses!AQ72="Kadang - Kadang",2,IF(Responses!AQ72="Jarang",1,0)))))</f>
        <v>4</v>
      </c>
      <c r="S72" s="8">
        <f>IF(Responses!AR72="","",IF(Responses!AR72="Selalu",4,IF(Responses!AR72="Sering",3,IF(Responses!AR72="Kadang - Kadang",2,IF(Responses!AR72="Jarang",1,0)))))</f>
        <v>3</v>
      </c>
      <c r="T72" s="8">
        <f>IF(Responses!AS72="","",IF(Responses!AS72="Selalu",4,IF(Responses!AS72="Sering",3,IF(Responses!AS72="Kadang - Kadang",2,IF(Responses!AS72="Jarang",1,0)))))</f>
        <v>2</v>
      </c>
      <c r="U72" s="8">
        <f>IF(Responses!AT72="","",IF(Responses!AT72="Selalu",4,IF(Responses!AT72="Sering",3,IF(Responses!AT72="Kadang - Kadang",2,IF(Responses!AT72="Jarang",1,0)))))</f>
        <v>3</v>
      </c>
      <c r="V72" s="8">
        <f>IF(Responses!AU72="","",IF(Responses!AU72="Selalu",4,IF(Responses!AU72="Sering",3,IF(Responses!AU72="Kadang - Kadang",2,IF(Responses!AU72="Jarang",1,0)))))</f>
        <v>0</v>
      </c>
      <c r="W72" s="8">
        <f>IF(Responses!AV72="","",IF(Responses!AV72="Selalu",4,IF(Responses!AV72="Sering",3,IF(Responses!AV72="Kadang - Kadang",2,IF(Responses!AV72="Jarang",1,0)))))</f>
        <v>2</v>
      </c>
      <c r="X72" s="8">
        <f>IF(Responses!AW72="","",IF(Responses!AW72="Selalu",4,IF(Responses!AW72="Sering",3,IF(Responses!AW72="Kadang - Kadang",2,IF(Responses!AW72="Jarang",1,0)))))</f>
        <v>1</v>
      </c>
      <c r="Y72" s="20">
        <f t="shared" si="4"/>
        <v>27</v>
      </c>
      <c r="Z72" s="22" t="str">
        <f t="shared" si="5"/>
        <v>Tidak/Sedikit Kecanduan</v>
      </c>
    </row>
    <row r="73" spans="1:26" ht="24" customHeight="1" x14ac:dyDescent="0.3">
      <c r="A73" s="19" t="str">
        <f>Responses!A73</f>
        <v>NqlzxyO</v>
      </c>
      <c r="B73" s="19" t="str">
        <f>Responses!B73</f>
        <v>D4XQvBE</v>
      </c>
      <c r="C73" s="19">
        <f>Responses!C73</f>
        <v>46136.100972222222</v>
      </c>
      <c r="D73" s="19" t="str">
        <f>Responses!D73</f>
        <v>Eriansyah al hafidz Husain</v>
      </c>
      <c r="E73" s="19" t="str">
        <f>Responses!E73</f>
        <v>XI-3</v>
      </c>
      <c r="F73" s="19">
        <f>Responses!F73</f>
        <v>16</v>
      </c>
      <c r="G73" s="8">
        <f>IF(Responses!AF73="","",IF(Responses!AF73="Selalu",4,IF(Responses!AF73="Sering",3,IF(Responses!AF73="Kadang - Kadang",2,IF(Responses!AF73="Jarang",1,0)))))</f>
        <v>3</v>
      </c>
      <c r="H73" s="8">
        <f>IF(Responses!AG73="","",IF(Responses!AG73="Selalu",4,IF(Responses!AG73="Sering",3,IF(Responses!AG73="Kadang - Kadang",2,IF(Responses!AG73="Jarang",1,0)))))</f>
        <v>3</v>
      </c>
      <c r="I73" s="8">
        <f>IF(Responses!AH73="","",IF(Responses!AH73="Selalu",4,IF(Responses!AH73="Sering",3,IF(Responses!AH73="Kadang - Kadang",2,IF(Responses!AH73="Jarang",1,0)))))</f>
        <v>3</v>
      </c>
      <c r="J73" s="8">
        <f>IF(Responses!AI73="","",IF(Responses!AI73="Selalu",4,IF(Responses!AI73="Sering",3,IF(Responses!AI73="Kadang - Kadang",2,IF(Responses!AI73="Jarang",1,0)))))</f>
        <v>3</v>
      </c>
      <c r="K73" s="8">
        <f>IF(Responses!AJ73="","",IF(Responses!AJ73="Selalu",4,IF(Responses!AJ73="Sering",3,IF(Responses!AJ73="Kadang - Kadang",2,IF(Responses!AJ73="Jarang",1,0)))))</f>
        <v>3</v>
      </c>
      <c r="L73" s="8">
        <f>IF(Responses!AK73="","",IF(Responses!AK73="Selalu",4,IF(Responses!AK73="Sering",3,IF(Responses!AK73="Kadang - Kadang",2,IF(Responses!AK73="Jarang",1,0)))))</f>
        <v>2</v>
      </c>
      <c r="M73" s="8">
        <f>IF(Responses!AL73="","",IF(Responses!AL73="Selalu",4,IF(Responses!AL73="Sering",3,IF(Responses!AL73="Kadang - Kadang",2,IF(Responses!AL73="Jarang",1,0)))))</f>
        <v>3</v>
      </c>
      <c r="N73" s="8">
        <f>IF(Responses!AM73="","",IF(Responses!AM73="Selalu",4,IF(Responses!AM73="Sering",3,IF(Responses!AM73="Kadang - Kadang",2,IF(Responses!AM73="Jarang",1,0)))))</f>
        <v>2</v>
      </c>
      <c r="O73" s="8">
        <f>IF(Responses!AN73="","",IF(Responses!AN73="Selalu",4,IF(Responses!AN73="Sering",3,IF(Responses!AN73="Kadang - Kadang",2,IF(Responses!AN73="Jarang",1,0)))))</f>
        <v>3</v>
      </c>
      <c r="P73" s="8">
        <f>IF(Responses!AO73="","",IF(Responses!AO73="Selalu",4,IF(Responses!AO73="Sering",3,IF(Responses!AO73="Kadang - Kadang",2,IF(Responses!AO73="Jarang",1,0)))))</f>
        <v>4</v>
      </c>
      <c r="Q73" s="8">
        <f>IF(Responses!AP73="","",IF(Responses!AP73="Selalu",4,IF(Responses!AP73="Sering",3,IF(Responses!AP73="Kadang - Kadang",2,IF(Responses!AP73="Jarang",1,0)))))</f>
        <v>3</v>
      </c>
      <c r="R73" s="8">
        <f>IF(Responses!AQ73="","",IF(Responses!AQ73="Selalu",4,IF(Responses!AQ73="Sering",3,IF(Responses!AQ73="Kadang - Kadang",2,IF(Responses!AQ73="Jarang",1,0)))))</f>
        <v>4</v>
      </c>
      <c r="S73" s="8">
        <f>IF(Responses!AR73="","",IF(Responses!AR73="Selalu",4,IF(Responses!AR73="Sering",3,IF(Responses!AR73="Kadang - Kadang",2,IF(Responses!AR73="Jarang",1,0)))))</f>
        <v>3</v>
      </c>
      <c r="T73" s="8">
        <f>IF(Responses!AS73="","",IF(Responses!AS73="Selalu",4,IF(Responses!AS73="Sering",3,IF(Responses!AS73="Kadang - Kadang",2,IF(Responses!AS73="Jarang",1,0)))))</f>
        <v>3</v>
      </c>
      <c r="U73" s="8">
        <f>IF(Responses!AT73="","",IF(Responses!AT73="Selalu",4,IF(Responses!AT73="Sering",3,IF(Responses!AT73="Kadang - Kadang",2,IF(Responses!AT73="Jarang",1,0)))))</f>
        <v>3</v>
      </c>
      <c r="V73" s="8">
        <f>IF(Responses!AU73="","",IF(Responses!AU73="Selalu",4,IF(Responses!AU73="Sering",3,IF(Responses!AU73="Kadang - Kadang",2,IF(Responses!AU73="Jarang",1,0)))))</f>
        <v>2</v>
      </c>
      <c r="W73" s="8">
        <f>IF(Responses!AV73="","",IF(Responses!AV73="Selalu",4,IF(Responses!AV73="Sering",3,IF(Responses!AV73="Kadang - Kadang",2,IF(Responses!AV73="Jarang",1,0)))))</f>
        <v>4</v>
      </c>
      <c r="X73" s="8">
        <f>IF(Responses!AW73="","",IF(Responses!AW73="Selalu",4,IF(Responses!AW73="Sering",3,IF(Responses!AW73="Kadang - Kadang",2,IF(Responses!AW73="Jarang",1,0)))))</f>
        <v>3</v>
      </c>
      <c r="Y73" s="20">
        <f t="shared" si="4"/>
        <v>54</v>
      </c>
      <c r="Z73" s="22" t="str">
        <f t="shared" si="5"/>
        <v>Kemungkinan Kecanduan</v>
      </c>
    </row>
    <row r="74" spans="1:26" ht="24" customHeight="1" x14ac:dyDescent="0.3">
      <c r="A74" s="19" t="str">
        <f>Responses!A74</f>
        <v>7XLQ09P</v>
      </c>
      <c r="B74" s="19" t="str">
        <f>Responses!B74</f>
        <v>ja0N9A4</v>
      </c>
      <c r="C74" s="19">
        <f>Responses!C74</f>
        <v>46136.101134259261</v>
      </c>
      <c r="D74" s="19" t="str">
        <f>Responses!D74</f>
        <v>Charen Chatarina C</v>
      </c>
      <c r="E74" s="19" t="str">
        <f>Responses!E74</f>
        <v>XI-3</v>
      </c>
      <c r="F74" s="19">
        <f>Responses!F74</f>
        <v>17</v>
      </c>
      <c r="G74" s="8">
        <f>IF(Responses!AF74="","",IF(Responses!AF74="Selalu",4,IF(Responses!AF74="Sering",3,IF(Responses!AF74="Kadang - Kadang",2,IF(Responses!AF74="Jarang",1,0)))))</f>
        <v>4</v>
      </c>
      <c r="H74" s="8">
        <f>IF(Responses!AG74="","",IF(Responses!AG74="Selalu",4,IF(Responses!AG74="Sering",3,IF(Responses!AG74="Kadang - Kadang",2,IF(Responses!AG74="Jarang",1,0)))))</f>
        <v>2</v>
      </c>
      <c r="I74" s="8">
        <f>IF(Responses!AH74="","",IF(Responses!AH74="Selalu",4,IF(Responses!AH74="Sering",3,IF(Responses!AH74="Kadang - Kadang",2,IF(Responses!AH74="Jarang",1,0)))))</f>
        <v>3</v>
      </c>
      <c r="J74" s="8">
        <f>IF(Responses!AI74="","",IF(Responses!AI74="Selalu",4,IF(Responses!AI74="Sering",3,IF(Responses!AI74="Kadang - Kadang",2,IF(Responses!AI74="Jarang",1,0)))))</f>
        <v>1</v>
      </c>
      <c r="K74" s="8">
        <f>IF(Responses!AJ74="","",IF(Responses!AJ74="Selalu",4,IF(Responses!AJ74="Sering",3,IF(Responses!AJ74="Kadang - Kadang",2,IF(Responses!AJ74="Jarang",1,0)))))</f>
        <v>2</v>
      </c>
      <c r="L74" s="8">
        <f>IF(Responses!AK74="","",IF(Responses!AK74="Selalu",4,IF(Responses!AK74="Sering",3,IF(Responses!AK74="Kadang - Kadang",2,IF(Responses!AK74="Jarang",1,0)))))</f>
        <v>4</v>
      </c>
      <c r="M74" s="8">
        <f>IF(Responses!AL74="","",IF(Responses!AL74="Selalu",4,IF(Responses!AL74="Sering",3,IF(Responses!AL74="Kadang - Kadang",2,IF(Responses!AL74="Jarang",1,0)))))</f>
        <v>2</v>
      </c>
      <c r="N74" s="8">
        <f>IF(Responses!AM74="","",IF(Responses!AM74="Selalu",4,IF(Responses!AM74="Sering",3,IF(Responses!AM74="Kadang - Kadang",2,IF(Responses!AM74="Jarang",1,0)))))</f>
        <v>4</v>
      </c>
      <c r="O74" s="8">
        <f>IF(Responses!AN74="","",IF(Responses!AN74="Selalu",4,IF(Responses!AN74="Sering",3,IF(Responses!AN74="Kadang - Kadang",2,IF(Responses!AN74="Jarang",1,0)))))</f>
        <v>4</v>
      </c>
      <c r="P74" s="8">
        <f>IF(Responses!AO74="","",IF(Responses!AO74="Selalu",4,IF(Responses!AO74="Sering",3,IF(Responses!AO74="Kadang - Kadang",2,IF(Responses!AO74="Jarang",1,0)))))</f>
        <v>3</v>
      </c>
      <c r="Q74" s="8">
        <f>IF(Responses!AP74="","",IF(Responses!AP74="Selalu",4,IF(Responses!AP74="Sering",3,IF(Responses!AP74="Kadang - Kadang",2,IF(Responses!AP74="Jarang",1,0)))))</f>
        <v>2</v>
      </c>
      <c r="R74" s="8">
        <f>IF(Responses!AQ74="","",IF(Responses!AQ74="Selalu",4,IF(Responses!AQ74="Sering",3,IF(Responses!AQ74="Kadang - Kadang",2,IF(Responses!AQ74="Jarang",1,0)))))</f>
        <v>4</v>
      </c>
      <c r="S74" s="8">
        <f>IF(Responses!AR74="","",IF(Responses!AR74="Selalu",4,IF(Responses!AR74="Sering",3,IF(Responses!AR74="Kadang - Kadang",2,IF(Responses!AR74="Jarang",1,0)))))</f>
        <v>3</v>
      </c>
      <c r="T74" s="8">
        <f>IF(Responses!AS74="","",IF(Responses!AS74="Selalu",4,IF(Responses!AS74="Sering",3,IF(Responses!AS74="Kadang - Kadang",2,IF(Responses!AS74="Jarang",1,0)))))</f>
        <v>3</v>
      </c>
      <c r="U74" s="8">
        <f>IF(Responses!AT74="","",IF(Responses!AT74="Selalu",4,IF(Responses!AT74="Sering",3,IF(Responses!AT74="Kadang - Kadang",2,IF(Responses!AT74="Jarang",1,0)))))</f>
        <v>2</v>
      </c>
      <c r="V74" s="8">
        <f>IF(Responses!AU74="","",IF(Responses!AU74="Selalu",4,IF(Responses!AU74="Sering",3,IF(Responses!AU74="Kadang - Kadang",2,IF(Responses!AU74="Jarang",1,0)))))</f>
        <v>2</v>
      </c>
      <c r="W74" s="8">
        <f>IF(Responses!AV74="","",IF(Responses!AV74="Selalu",4,IF(Responses!AV74="Sering",3,IF(Responses!AV74="Kadang - Kadang",2,IF(Responses!AV74="Jarang",1,0)))))</f>
        <v>2</v>
      </c>
      <c r="X74" s="8">
        <f>IF(Responses!AW74="","",IF(Responses!AW74="Selalu",4,IF(Responses!AW74="Sering",3,IF(Responses!AW74="Kadang - Kadang",2,IF(Responses!AW74="Jarang",1,0)))))</f>
        <v>3</v>
      </c>
      <c r="Y74" s="20">
        <f t="shared" si="4"/>
        <v>50</v>
      </c>
      <c r="Z74" s="22" t="str">
        <f t="shared" si="5"/>
        <v>Kemungkinan Kecanduan</v>
      </c>
    </row>
    <row r="75" spans="1:26" ht="24" customHeight="1" x14ac:dyDescent="0.3">
      <c r="A75" s="19" t="str">
        <f>Responses!A75</f>
        <v>laep21V</v>
      </c>
      <c r="B75" s="19" t="str">
        <f>Responses!B75</f>
        <v>VL9g9Gl</v>
      </c>
      <c r="C75" s="19">
        <f>Responses!C75</f>
        <v>46136.10119212963</v>
      </c>
      <c r="D75" s="19" t="str">
        <f>Responses!D75</f>
        <v xml:space="preserve">karim lestya azzahra </v>
      </c>
      <c r="E75" s="19" t="str">
        <f>Responses!E75</f>
        <v>XI-3</v>
      </c>
      <c r="F75" s="19">
        <f>Responses!F75</f>
        <v>17</v>
      </c>
      <c r="G75" s="8">
        <f>IF(Responses!AF75="","",IF(Responses!AF75="Selalu",4,IF(Responses!AF75="Sering",3,IF(Responses!AF75="Kadang - Kadang",2,IF(Responses!AF75="Jarang",1,0)))))</f>
        <v>2</v>
      </c>
      <c r="H75" s="8">
        <f>IF(Responses!AG75="","",IF(Responses!AG75="Selalu",4,IF(Responses!AG75="Sering",3,IF(Responses!AG75="Kadang - Kadang",2,IF(Responses!AG75="Jarang",1,0)))))</f>
        <v>1</v>
      </c>
      <c r="I75" s="8">
        <f>IF(Responses!AH75="","",IF(Responses!AH75="Selalu",4,IF(Responses!AH75="Sering",3,IF(Responses!AH75="Kadang - Kadang",2,IF(Responses!AH75="Jarang",1,0)))))</f>
        <v>2</v>
      </c>
      <c r="J75" s="8">
        <f>IF(Responses!AI75="","",IF(Responses!AI75="Selalu",4,IF(Responses!AI75="Sering",3,IF(Responses!AI75="Kadang - Kadang",2,IF(Responses!AI75="Jarang",1,0)))))</f>
        <v>1</v>
      </c>
      <c r="K75" s="8">
        <f>IF(Responses!AJ75="","",IF(Responses!AJ75="Selalu",4,IF(Responses!AJ75="Sering",3,IF(Responses!AJ75="Kadang - Kadang",2,IF(Responses!AJ75="Jarang",1,0)))))</f>
        <v>2</v>
      </c>
      <c r="L75" s="8">
        <f>IF(Responses!AK75="","",IF(Responses!AK75="Selalu",4,IF(Responses!AK75="Sering",3,IF(Responses!AK75="Kadang - Kadang",2,IF(Responses!AK75="Jarang",1,0)))))</f>
        <v>2</v>
      </c>
      <c r="M75" s="8">
        <f>IF(Responses!AL75="","",IF(Responses!AL75="Selalu",4,IF(Responses!AL75="Sering",3,IF(Responses!AL75="Kadang - Kadang",2,IF(Responses!AL75="Jarang",1,0)))))</f>
        <v>2</v>
      </c>
      <c r="N75" s="8">
        <f>IF(Responses!AM75="","",IF(Responses!AM75="Selalu",4,IF(Responses!AM75="Sering",3,IF(Responses!AM75="Kadang - Kadang",2,IF(Responses!AM75="Jarang",1,0)))))</f>
        <v>1</v>
      </c>
      <c r="O75" s="8">
        <f>IF(Responses!AN75="","",IF(Responses!AN75="Selalu",4,IF(Responses!AN75="Sering",3,IF(Responses!AN75="Kadang - Kadang",2,IF(Responses!AN75="Jarang",1,0)))))</f>
        <v>1</v>
      </c>
      <c r="P75" s="8">
        <f>IF(Responses!AO75="","",IF(Responses!AO75="Selalu",4,IF(Responses!AO75="Sering",3,IF(Responses!AO75="Kadang - Kadang",2,IF(Responses!AO75="Jarang",1,0)))))</f>
        <v>1</v>
      </c>
      <c r="Q75" s="8">
        <f>IF(Responses!AP75="","",IF(Responses!AP75="Selalu",4,IF(Responses!AP75="Sering",3,IF(Responses!AP75="Kadang - Kadang",2,IF(Responses!AP75="Jarang",1,0)))))</f>
        <v>0</v>
      </c>
      <c r="R75" s="8">
        <f>IF(Responses!AQ75="","",IF(Responses!AQ75="Selalu",4,IF(Responses!AQ75="Sering",3,IF(Responses!AQ75="Kadang - Kadang",2,IF(Responses!AQ75="Jarang",1,0)))))</f>
        <v>0</v>
      </c>
      <c r="S75" s="8">
        <f>IF(Responses!AR75="","",IF(Responses!AR75="Selalu",4,IF(Responses!AR75="Sering",3,IF(Responses!AR75="Kadang - Kadang",2,IF(Responses!AR75="Jarang",1,0)))))</f>
        <v>1</v>
      </c>
      <c r="T75" s="8">
        <f>IF(Responses!AS75="","",IF(Responses!AS75="Selalu",4,IF(Responses!AS75="Sering",3,IF(Responses!AS75="Kadang - Kadang",2,IF(Responses!AS75="Jarang",1,0)))))</f>
        <v>0</v>
      </c>
      <c r="U75" s="8">
        <f>IF(Responses!AT75="","",IF(Responses!AT75="Selalu",4,IF(Responses!AT75="Sering",3,IF(Responses!AT75="Kadang - Kadang",2,IF(Responses!AT75="Jarang",1,0)))))</f>
        <v>2</v>
      </c>
      <c r="V75" s="8">
        <f>IF(Responses!AU75="","",IF(Responses!AU75="Selalu",4,IF(Responses!AU75="Sering",3,IF(Responses!AU75="Kadang - Kadang",2,IF(Responses!AU75="Jarang",1,0)))))</f>
        <v>1</v>
      </c>
      <c r="W75" s="8">
        <f>IF(Responses!AV75="","",IF(Responses!AV75="Selalu",4,IF(Responses!AV75="Sering",3,IF(Responses!AV75="Kadang - Kadang",2,IF(Responses!AV75="Jarang",1,0)))))</f>
        <v>1</v>
      </c>
      <c r="X75" s="8">
        <f>IF(Responses!AW75="","",IF(Responses!AW75="Selalu",4,IF(Responses!AW75="Sering",3,IF(Responses!AW75="Kadang - Kadang",2,IF(Responses!AW75="Jarang",1,0)))))</f>
        <v>1</v>
      </c>
      <c r="Y75" s="20">
        <f t="shared" si="4"/>
        <v>21</v>
      </c>
      <c r="Z75" s="22" t="str">
        <f t="shared" si="5"/>
        <v>Tidak/Sedikit Kecanduan</v>
      </c>
    </row>
    <row r="76" spans="1:26" ht="24" customHeight="1" x14ac:dyDescent="0.3">
      <c r="A76" s="19" t="str">
        <f>Responses!A76</f>
        <v>aO5WJJZ</v>
      </c>
      <c r="B76" s="19" t="str">
        <f>Responses!B76</f>
        <v>1Ab8b94</v>
      </c>
      <c r="C76" s="19">
        <f>Responses!C76</f>
        <v>46136.101203703707</v>
      </c>
      <c r="D76" s="19" t="str">
        <f>Responses!D76</f>
        <v>Shelomytha Jenia Putri</v>
      </c>
      <c r="E76" s="19" t="str">
        <f>Responses!E76</f>
        <v>XI-3</v>
      </c>
      <c r="F76" s="19">
        <f>Responses!F76</f>
        <v>17</v>
      </c>
      <c r="G76" s="8">
        <f>IF(Responses!AF76="","",IF(Responses!AF76="Selalu",4,IF(Responses!AF76="Sering",3,IF(Responses!AF76="Kadang - Kadang",2,IF(Responses!AF76="Jarang",1,0)))))</f>
        <v>2</v>
      </c>
      <c r="H76" s="8">
        <f>IF(Responses!AG76="","",IF(Responses!AG76="Selalu",4,IF(Responses!AG76="Sering",3,IF(Responses!AG76="Kadang - Kadang",2,IF(Responses!AG76="Jarang",1,0)))))</f>
        <v>1</v>
      </c>
      <c r="I76" s="8">
        <f>IF(Responses!AH76="","",IF(Responses!AH76="Selalu",4,IF(Responses!AH76="Sering",3,IF(Responses!AH76="Kadang - Kadang",2,IF(Responses!AH76="Jarang",1,0)))))</f>
        <v>1</v>
      </c>
      <c r="J76" s="8">
        <f>IF(Responses!AI76="","",IF(Responses!AI76="Selalu",4,IF(Responses!AI76="Sering",3,IF(Responses!AI76="Kadang - Kadang",2,IF(Responses!AI76="Jarang",1,0)))))</f>
        <v>0</v>
      </c>
      <c r="K76" s="8">
        <f>IF(Responses!AJ76="","",IF(Responses!AJ76="Selalu",4,IF(Responses!AJ76="Sering",3,IF(Responses!AJ76="Kadang - Kadang",2,IF(Responses!AJ76="Jarang",1,0)))))</f>
        <v>4</v>
      </c>
      <c r="L76" s="8">
        <f>IF(Responses!AK76="","",IF(Responses!AK76="Selalu",4,IF(Responses!AK76="Sering",3,IF(Responses!AK76="Kadang - Kadang",2,IF(Responses!AK76="Jarang",1,0)))))</f>
        <v>0</v>
      </c>
      <c r="M76" s="8">
        <f>IF(Responses!AL76="","",IF(Responses!AL76="Selalu",4,IF(Responses!AL76="Sering",3,IF(Responses!AL76="Kadang - Kadang",2,IF(Responses!AL76="Jarang",1,0)))))</f>
        <v>1</v>
      </c>
      <c r="N76" s="8">
        <f>IF(Responses!AM76="","",IF(Responses!AM76="Selalu",4,IF(Responses!AM76="Sering",3,IF(Responses!AM76="Kadang - Kadang",2,IF(Responses!AM76="Jarang",1,0)))))</f>
        <v>2</v>
      </c>
      <c r="O76" s="8">
        <f>IF(Responses!AN76="","",IF(Responses!AN76="Selalu",4,IF(Responses!AN76="Sering",3,IF(Responses!AN76="Kadang - Kadang",2,IF(Responses!AN76="Jarang",1,0)))))</f>
        <v>2</v>
      </c>
      <c r="P76" s="8">
        <f>IF(Responses!AO76="","",IF(Responses!AO76="Selalu",4,IF(Responses!AO76="Sering",3,IF(Responses!AO76="Kadang - Kadang",2,IF(Responses!AO76="Jarang",1,0)))))</f>
        <v>3</v>
      </c>
      <c r="Q76" s="8">
        <f>IF(Responses!AP76="","",IF(Responses!AP76="Selalu",4,IF(Responses!AP76="Sering",3,IF(Responses!AP76="Kadang - Kadang",2,IF(Responses!AP76="Jarang",1,0)))))</f>
        <v>1</v>
      </c>
      <c r="R76" s="8">
        <f>IF(Responses!AQ76="","",IF(Responses!AQ76="Selalu",4,IF(Responses!AQ76="Sering",3,IF(Responses!AQ76="Kadang - Kadang",2,IF(Responses!AQ76="Jarang",1,0)))))</f>
        <v>0</v>
      </c>
      <c r="S76" s="8">
        <f>IF(Responses!AR76="","",IF(Responses!AR76="Selalu",4,IF(Responses!AR76="Sering",3,IF(Responses!AR76="Kadang - Kadang",2,IF(Responses!AR76="Jarang",1,0)))))</f>
        <v>1</v>
      </c>
      <c r="T76" s="8">
        <f>IF(Responses!AS76="","",IF(Responses!AS76="Selalu",4,IF(Responses!AS76="Sering",3,IF(Responses!AS76="Kadang - Kadang",2,IF(Responses!AS76="Jarang",1,0)))))</f>
        <v>1</v>
      </c>
      <c r="U76" s="8">
        <f>IF(Responses!AT76="","",IF(Responses!AT76="Selalu",4,IF(Responses!AT76="Sering",3,IF(Responses!AT76="Kadang - Kadang",2,IF(Responses!AT76="Jarang",1,0)))))</f>
        <v>2</v>
      </c>
      <c r="V76" s="8">
        <f>IF(Responses!AU76="","",IF(Responses!AU76="Selalu",4,IF(Responses!AU76="Sering",3,IF(Responses!AU76="Kadang - Kadang",2,IF(Responses!AU76="Jarang",1,0)))))</f>
        <v>1</v>
      </c>
      <c r="W76" s="8">
        <f>IF(Responses!AV76="","",IF(Responses!AV76="Selalu",4,IF(Responses!AV76="Sering",3,IF(Responses!AV76="Kadang - Kadang",2,IF(Responses!AV76="Jarang",1,0)))))</f>
        <v>1</v>
      </c>
      <c r="X76" s="8">
        <f>IF(Responses!AW76="","",IF(Responses!AW76="Selalu",4,IF(Responses!AW76="Sering",3,IF(Responses!AW76="Kadang - Kadang",2,IF(Responses!AW76="Jarang",1,0)))))</f>
        <v>2</v>
      </c>
      <c r="Y76" s="20">
        <f t="shared" si="4"/>
        <v>25</v>
      </c>
      <c r="Z76" s="22" t="str">
        <f t="shared" si="5"/>
        <v>Tidak/Sedikit Kecanduan</v>
      </c>
    </row>
    <row r="77" spans="1:26" ht="24" customHeight="1" x14ac:dyDescent="0.3">
      <c r="A77" s="19" t="str">
        <f>Responses!A77</f>
        <v>7XLQrd9</v>
      </c>
      <c r="B77" s="19" t="str">
        <f>Responses!B77</f>
        <v>RGZp8gd</v>
      </c>
      <c r="C77" s="19">
        <f>Responses!C77</f>
        <v>46136.1015162037</v>
      </c>
      <c r="D77" s="19" t="str">
        <f>Responses!D77</f>
        <v>Ekklesia Christy</v>
      </c>
      <c r="E77" s="19" t="str">
        <f>Responses!E77</f>
        <v>XI-3</v>
      </c>
      <c r="F77" s="19">
        <f>Responses!F77</f>
        <v>17</v>
      </c>
      <c r="G77" s="8">
        <f>IF(Responses!AF77="","",IF(Responses!AF77="Selalu",4,IF(Responses!AF77="Sering",3,IF(Responses!AF77="Kadang - Kadang",2,IF(Responses!AF77="Jarang",1,0)))))</f>
        <v>2</v>
      </c>
      <c r="H77" s="8">
        <f>IF(Responses!AG77="","",IF(Responses!AG77="Selalu",4,IF(Responses!AG77="Sering",3,IF(Responses!AG77="Kadang - Kadang",2,IF(Responses!AG77="Jarang",1,0)))))</f>
        <v>1</v>
      </c>
      <c r="I77" s="8">
        <f>IF(Responses!AH77="","",IF(Responses!AH77="Selalu",4,IF(Responses!AH77="Sering",3,IF(Responses!AH77="Kadang - Kadang",2,IF(Responses!AH77="Jarang",1,0)))))</f>
        <v>1</v>
      </c>
      <c r="J77" s="8">
        <f>IF(Responses!AI77="","",IF(Responses!AI77="Selalu",4,IF(Responses!AI77="Sering",3,IF(Responses!AI77="Kadang - Kadang",2,IF(Responses!AI77="Jarang",1,0)))))</f>
        <v>0</v>
      </c>
      <c r="K77" s="8">
        <f>IF(Responses!AJ77="","",IF(Responses!AJ77="Selalu",4,IF(Responses!AJ77="Sering",3,IF(Responses!AJ77="Kadang - Kadang",2,IF(Responses!AJ77="Jarang",1,0)))))</f>
        <v>2</v>
      </c>
      <c r="L77" s="8">
        <f>IF(Responses!AK77="","",IF(Responses!AK77="Selalu",4,IF(Responses!AK77="Sering",3,IF(Responses!AK77="Kadang - Kadang",2,IF(Responses!AK77="Jarang",1,0)))))</f>
        <v>0</v>
      </c>
      <c r="M77" s="8">
        <f>IF(Responses!AL77="","",IF(Responses!AL77="Selalu",4,IF(Responses!AL77="Sering",3,IF(Responses!AL77="Kadang - Kadang",2,IF(Responses!AL77="Jarang",1,0)))))</f>
        <v>1</v>
      </c>
      <c r="N77" s="8">
        <f>IF(Responses!AM77="","",IF(Responses!AM77="Selalu",4,IF(Responses!AM77="Sering",3,IF(Responses!AM77="Kadang - Kadang",2,IF(Responses!AM77="Jarang",1,0)))))</f>
        <v>1</v>
      </c>
      <c r="O77" s="8">
        <f>IF(Responses!AN77="","",IF(Responses!AN77="Selalu",4,IF(Responses!AN77="Sering",3,IF(Responses!AN77="Kadang - Kadang",2,IF(Responses!AN77="Jarang",1,0)))))</f>
        <v>0</v>
      </c>
      <c r="P77" s="8">
        <f>IF(Responses!AO77="","",IF(Responses!AO77="Selalu",4,IF(Responses!AO77="Sering",3,IF(Responses!AO77="Kadang - Kadang",2,IF(Responses!AO77="Jarang",1,0)))))</f>
        <v>2</v>
      </c>
      <c r="Q77" s="8">
        <f>IF(Responses!AP77="","",IF(Responses!AP77="Selalu",4,IF(Responses!AP77="Sering",3,IF(Responses!AP77="Kadang - Kadang",2,IF(Responses!AP77="Jarang",1,0)))))</f>
        <v>0</v>
      </c>
      <c r="R77" s="8">
        <f>IF(Responses!AQ77="","",IF(Responses!AQ77="Selalu",4,IF(Responses!AQ77="Sering",3,IF(Responses!AQ77="Kadang - Kadang",2,IF(Responses!AQ77="Jarang",1,0)))))</f>
        <v>2</v>
      </c>
      <c r="S77" s="8">
        <f>IF(Responses!AR77="","",IF(Responses!AR77="Selalu",4,IF(Responses!AR77="Sering",3,IF(Responses!AR77="Kadang - Kadang",2,IF(Responses!AR77="Jarang",1,0)))))</f>
        <v>1</v>
      </c>
      <c r="T77" s="8">
        <f>IF(Responses!AS77="","",IF(Responses!AS77="Selalu",4,IF(Responses!AS77="Sering",3,IF(Responses!AS77="Kadang - Kadang",2,IF(Responses!AS77="Jarang",1,0)))))</f>
        <v>0</v>
      </c>
      <c r="U77" s="8">
        <f>IF(Responses!AT77="","",IF(Responses!AT77="Selalu",4,IF(Responses!AT77="Sering",3,IF(Responses!AT77="Kadang - Kadang",2,IF(Responses!AT77="Jarang",1,0)))))</f>
        <v>1</v>
      </c>
      <c r="V77" s="8">
        <f>IF(Responses!AU77="","",IF(Responses!AU77="Selalu",4,IF(Responses!AU77="Sering",3,IF(Responses!AU77="Kadang - Kadang",2,IF(Responses!AU77="Jarang",1,0)))))</f>
        <v>0</v>
      </c>
      <c r="W77" s="8">
        <f>IF(Responses!AV77="","",IF(Responses!AV77="Selalu",4,IF(Responses!AV77="Sering",3,IF(Responses!AV77="Kadang - Kadang",2,IF(Responses!AV77="Jarang",1,0)))))</f>
        <v>0</v>
      </c>
      <c r="X77" s="8">
        <f>IF(Responses!AW77="","",IF(Responses!AW77="Selalu",4,IF(Responses!AW77="Sering",3,IF(Responses!AW77="Kadang - Kadang",2,IF(Responses!AW77="Jarang",1,0)))))</f>
        <v>0</v>
      </c>
      <c r="Y77" s="20">
        <f t="shared" si="4"/>
        <v>14</v>
      </c>
      <c r="Z77" s="22" t="str">
        <f t="shared" si="5"/>
        <v>Tidak/Sedikit Kecanduan</v>
      </c>
    </row>
    <row r="78" spans="1:26" x14ac:dyDescent="0.3">
      <c r="A78" s="19" t="str">
        <f>Responses!A78</f>
        <v>1Wdjo2b</v>
      </c>
      <c r="B78" s="19" t="str">
        <f>Responses!B78</f>
        <v>GxoWYV2</v>
      </c>
      <c r="C78" s="19">
        <f>Responses!C78</f>
        <v>46136.101550925923</v>
      </c>
      <c r="D78" s="19" t="str">
        <f>Responses!D78</f>
        <v>Nameera Hilwa Fathma</v>
      </c>
      <c r="E78" s="19" t="str">
        <f>Responses!E78</f>
        <v>XI-3</v>
      </c>
      <c r="F78" s="19">
        <f>Responses!F78</f>
        <v>18</v>
      </c>
      <c r="G78" s="8">
        <f>IF(Responses!AF78="","",IF(Responses!AF78="Selalu",4,IF(Responses!AF78="Sering",3,IF(Responses!AF78="Kadang - Kadang",2,IF(Responses!AF78="Jarang",1,0)))))</f>
        <v>3</v>
      </c>
      <c r="H78" s="8">
        <f>IF(Responses!AG78="","",IF(Responses!AG78="Selalu",4,IF(Responses!AG78="Sering",3,IF(Responses!AG78="Kadang - Kadang",2,IF(Responses!AG78="Jarang",1,0)))))</f>
        <v>2</v>
      </c>
      <c r="I78" s="8">
        <f>IF(Responses!AH78="","",IF(Responses!AH78="Selalu",4,IF(Responses!AH78="Sering",3,IF(Responses!AH78="Kadang - Kadang",2,IF(Responses!AH78="Jarang",1,0)))))</f>
        <v>2</v>
      </c>
      <c r="J78" s="8">
        <f>IF(Responses!AI78="","",IF(Responses!AI78="Selalu",4,IF(Responses!AI78="Sering",3,IF(Responses!AI78="Kadang - Kadang",2,IF(Responses!AI78="Jarang",1,0)))))</f>
        <v>2</v>
      </c>
      <c r="K78" s="8">
        <f>IF(Responses!AJ78="","",IF(Responses!AJ78="Selalu",4,IF(Responses!AJ78="Sering",3,IF(Responses!AJ78="Kadang - Kadang",2,IF(Responses!AJ78="Jarang",1,0)))))</f>
        <v>2</v>
      </c>
      <c r="L78" s="8">
        <f>IF(Responses!AK78="","",IF(Responses!AK78="Selalu",4,IF(Responses!AK78="Sering",3,IF(Responses!AK78="Kadang - Kadang",2,IF(Responses!AK78="Jarang",1,0)))))</f>
        <v>0</v>
      </c>
      <c r="M78" s="8">
        <f>IF(Responses!AL78="","",IF(Responses!AL78="Selalu",4,IF(Responses!AL78="Sering",3,IF(Responses!AL78="Kadang - Kadang",2,IF(Responses!AL78="Jarang",1,0)))))</f>
        <v>2</v>
      </c>
      <c r="N78" s="8">
        <f>IF(Responses!AM78="","",IF(Responses!AM78="Selalu",4,IF(Responses!AM78="Sering",3,IF(Responses!AM78="Kadang - Kadang",2,IF(Responses!AM78="Jarang",1,0)))))</f>
        <v>3</v>
      </c>
      <c r="O78" s="8">
        <f>IF(Responses!AN78="","",IF(Responses!AN78="Selalu",4,IF(Responses!AN78="Sering",3,IF(Responses!AN78="Kadang - Kadang",2,IF(Responses!AN78="Jarang",1,0)))))</f>
        <v>1</v>
      </c>
      <c r="P78" s="8">
        <f>IF(Responses!AO78="","",IF(Responses!AO78="Selalu",4,IF(Responses!AO78="Sering",3,IF(Responses!AO78="Kadang - Kadang",2,IF(Responses!AO78="Jarang",1,0)))))</f>
        <v>3</v>
      </c>
      <c r="Q78" s="8">
        <f>IF(Responses!AP78="","",IF(Responses!AP78="Selalu",4,IF(Responses!AP78="Sering",3,IF(Responses!AP78="Kadang - Kadang",2,IF(Responses!AP78="Jarang",1,0)))))</f>
        <v>1</v>
      </c>
      <c r="R78" s="8">
        <f>IF(Responses!AQ78="","",IF(Responses!AQ78="Selalu",4,IF(Responses!AQ78="Sering",3,IF(Responses!AQ78="Kadang - Kadang",2,IF(Responses!AQ78="Jarang",1,0)))))</f>
        <v>2</v>
      </c>
      <c r="S78" s="8">
        <f>IF(Responses!AR78="","",IF(Responses!AR78="Selalu",4,IF(Responses!AR78="Sering",3,IF(Responses!AR78="Kadang - Kadang",2,IF(Responses!AR78="Jarang",1,0)))))</f>
        <v>2</v>
      </c>
      <c r="T78" s="8">
        <f>IF(Responses!AS78="","",IF(Responses!AS78="Selalu",4,IF(Responses!AS78="Sering",3,IF(Responses!AS78="Kadang - Kadang",2,IF(Responses!AS78="Jarang",1,0)))))</f>
        <v>3</v>
      </c>
      <c r="U78" s="8">
        <f>IF(Responses!AT78="","",IF(Responses!AT78="Selalu",4,IF(Responses!AT78="Sering",3,IF(Responses!AT78="Kadang - Kadang",2,IF(Responses!AT78="Jarang",1,0)))))</f>
        <v>2</v>
      </c>
      <c r="V78" s="8">
        <f>IF(Responses!AU78="","",IF(Responses!AU78="Selalu",4,IF(Responses!AU78="Sering",3,IF(Responses!AU78="Kadang - Kadang",2,IF(Responses!AU78="Jarang",1,0)))))</f>
        <v>1</v>
      </c>
      <c r="W78" s="8">
        <f>IF(Responses!AV78="","",IF(Responses!AV78="Selalu",4,IF(Responses!AV78="Sering",3,IF(Responses!AV78="Kadang - Kadang",2,IF(Responses!AV78="Jarang",1,0)))))</f>
        <v>1</v>
      </c>
      <c r="X78" s="8">
        <f>IF(Responses!AW78="","",IF(Responses!AW78="Selalu",4,IF(Responses!AW78="Sering",3,IF(Responses!AW78="Kadang - Kadang",2,IF(Responses!AW78="Jarang",1,0)))))</f>
        <v>1</v>
      </c>
      <c r="Y78" s="20">
        <f t="shared" si="4"/>
        <v>33</v>
      </c>
      <c r="Z78" s="22" t="str">
        <f t="shared" si="5"/>
        <v>Kecanduan Borderline</v>
      </c>
    </row>
    <row r="79" spans="1:26" ht="24" customHeight="1" x14ac:dyDescent="0.3">
      <c r="A79" s="19" t="str">
        <f>Responses!A79</f>
        <v>WJE4Vka</v>
      </c>
      <c r="B79" s="19" t="str">
        <f>Responses!B79</f>
        <v>Np4kMpj</v>
      </c>
      <c r="C79" s="19">
        <f>Responses!C79</f>
        <v>46136.1016087963</v>
      </c>
      <c r="D79" s="19" t="str">
        <f>Responses!D79</f>
        <v>Salma Taqiyyatunnisa</v>
      </c>
      <c r="E79" s="19" t="str">
        <f>Responses!E79</f>
        <v>XI-3</v>
      </c>
      <c r="F79" s="19">
        <f>Responses!F79</f>
        <v>17</v>
      </c>
      <c r="G79" s="8">
        <f>IF(Responses!AF79="","",IF(Responses!AF79="Selalu",4,IF(Responses!AF79="Sering",3,IF(Responses!AF79="Kadang - Kadang",2,IF(Responses!AF79="Jarang",1,0)))))</f>
        <v>1</v>
      </c>
      <c r="H79" s="8">
        <f>IF(Responses!AG79="","",IF(Responses!AG79="Selalu",4,IF(Responses!AG79="Sering",3,IF(Responses!AG79="Kadang - Kadang",2,IF(Responses!AG79="Jarang",1,0)))))</f>
        <v>0</v>
      </c>
      <c r="I79" s="8">
        <f>IF(Responses!AH79="","",IF(Responses!AH79="Selalu",4,IF(Responses!AH79="Sering",3,IF(Responses!AH79="Kadang - Kadang",2,IF(Responses!AH79="Jarang",1,0)))))</f>
        <v>2</v>
      </c>
      <c r="J79" s="8">
        <f>IF(Responses!AI79="","",IF(Responses!AI79="Selalu",4,IF(Responses!AI79="Sering",3,IF(Responses!AI79="Kadang - Kadang",2,IF(Responses!AI79="Jarang",1,0)))))</f>
        <v>2</v>
      </c>
      <c r="K79" s="8">
        <f>IF(Responses!AJ79="","",IF(Responses!AJ79="Selalu",4,IF(Responses!AJ79="Sering",3,IF(Responses!AJ79="Kadang - Kadang",2,IF(Responses!AJ79="Jarang",1,0)))))</f>
        <v>1</v>
      </c>
      <c r="L79" s="8">
        <f>IF(Responses!AK79="","",IF(Responses!AK79="Selalu",4,IF(Responses!AK79="Sering",3,IF(Responses!AK79="Kadang - Kadang",2,IF(Responses!AK79="Jarang",1,0)))))</f>
        <v>1</v>
      </c>
      <c r="M79" s="8">
        <f>IF(Responses!AL79="","",IF(Responses!AL79="Selalu",4,IF(Responses!AL79="Sering",3,IF(Responses!AL79="Kadang - Kadang",2,IF(Responses!AL79="Jarang",1,0)))))</f>
        <v>0</v>
      </c>
      <c r="N79" s="8">
        <f>IF(Responses!AM79="","",IF(Responses!AM79="Selalu",4,IF(Responses!AM79="Sering",3,IF(Responses!AM79="Kadang - Kadang",2,IF(Responses!AM79="Jarang",1,0)))))</f>
        <v>4</v>
      </c>
      <c r="O79" s="8">
        <f>IF(Responses!AN79="","",IF(Responses!AN79="Selalu",4,IF(Responses!AN79="Sering",3,IF(Responses!AN79="Kadang - Kadang",2,IF(Responses!AN79="Jarang",1,0)))))</f>
        <v>0</v>
      </c>
      <c r="P79" s="8">
        <f>IF(Responses!AO79="","",IF(Responses!AO79="Selalu",4,IF(Responses!AO79="Sering",3,IF(Responses!AO79="Kadang - Kadang",2,IF(Responses!AO79="Jarang",1,0)))))</f>
        <v>1</v>
      </c>
      <c r="Q79" s="8">
        <f>IF(Responses!AP79="","",IF(Responses!AP79="Selalu",4,IF(Responses!AP79="Sering",3,IF(Responses!AP79="Kadang - Kadang",2,IF(Responses!AP79="Jarang",1,0)))))</f>
        <v>2</v>
      </c>
      <c r="R79" s="8">
        <f>IF(Responses!AQ79="","",IF(Responses!AQ79="Selalu",4,IF(Responses!AQ79="Sering",3,IF(Responses!AQ79="Kadang - Kadang",2,IF(Responses!AQ79="Jarang",1,0)))))</f>
        <v>0</v>
      </c>
      <c r="S79" s="8">
        <f>IF(Responses!AR79="","",IF(Responses!AR79="Selalu",4,IF(Responses!AR79="Sering",3,IF(Responses!AR79="Kadang - Kadang",2,IF(Responses!AR79="Jarang",1,0)))))</f>
        <v>1</v>
      </c>
      <c r="T79" s="8">
        <f>IF(Responses!AS79="","",IF(Responses!AS79="Selalu",4,IF(Responses!AS79="Sering",3,IF(Responses!AS79="Kadang - Kadang",2,IF(Responses!AS79="Jarang",1,0)))))</f>
        <v>1</v>
      </c>
      <c r="U79" s="8">
        <f>IF(Responses!AT79="","",IF(Responses!AT79="Selalu",4,IF(Responses!AT79="Sering",3,IF(Responses!AT79="Kadang - Kadang",2,IF(Responses!AT79="Jarang",1,0)))))</f>
        <v>0</v>
      </c>
      <c r="V79" s="8">
        <f>IF(Responses!AU79="","",IF(Responses!AU79="Selalu",4,IF(Responses!AU79="Sering",3,IF(Responses!AU79="Kadang - Kadang",2,IF(Responses!AU79="Jarang",1,0)))))</f>
        <v>0</v>
      </c>
      <c r="W79" s="8">
        <f>IF(Responses!AV79="","",IF(Responses!AV79="Selalu",4,IF(Responses!AV79="Sering",3,IF(Responses!AV79="Kadang - Kadang",2,IF(Responses!AV79="Jarang",1,0)))))</f>
        <v>3</v>
      </c>
      <c r="X79" s="8">
        <f>IF(Responses!AW79="","",IF(Responses!AW79="Selalu",4,IF(Responses!AW79="Sering",3,IF(Responses!AW79="Kadang - Kadang",2,IF(Responses!AW79="Jarang",1,0)))))</f>
        <v>2</v>
      </c>
      <c r="Y79" s="20">
        <f t="shared" si="4"/>
        <v>21</v>
      </c>
      <c r="Z79" s="22" t="str">
        <f t="shared" si="5"/>
        <v>Tidak/Sedikit Kecanduan</v>
      </c>
    </row>
    <row r="80" spans="1:26" ht="24" customHeight="1" x14ac:dyDescent="0.3">
      <c r="A80" s="19" t="str">
        <f>Responses!A80</f>
        <v>8Na9lol</v>
      </c>
      <c r="B80" s="19" t="str">
        <f>Responses!B80</f>
        <v>ob0WKdM</v>
      </c>
      <c r="C80" s="19">
        <f>Responses!C80</f>
        <v>46136.101678240739</v>
      </c>
      <c r="D80" s="19" t="str">
        <f>Responses!D80</f>
        <v xml:space="preserve">Aquilla Keyza Rahardian Alfariz </v>
      </c>
      <c r="E80" s="19" t="str">
        <f>Responses!E80</f>
        <v>XI-3</v>
      </c>
      <c r="F80" s="19">
        <f>Responses!F80</f>
        <v>17</v>
      </c>
      <c r="G80" s="8">
        <f>IF(Responses!AF80="","",IF(Responses!AF80="Selalu",4,IF(Responses!AF80="Sering",3,IF(Responses!AF80="Kadang - Kadang",2,IF(Responses!AF80="Jarang",1,0)))))</f>
        <v>2</v>
      </c>
      <c r="H80" s="8">
        <f>IF(Responses!AG80="","",IF(Responses!AG80="Selalu",4,IF(Responses!AG80="Sering",3,IF(Responses!AG80="Kadang - Kadang",2,IF(Responses!AG80="Jarang",1,0)))))</f>
        <v>1</v>
      </c>
      <c r="I80" s="8">
        <f>IF(Responses!AH80="","",IF(Responses!AH80="Selalu",4,IF(Responses!AH80="Sering",3,IF(Responses!AH80="Kadang - Kadang",2,IF(Responses!AH80="Jarang",1,0)))))</f>
        <v>1</v>
      </c>
      <c r="J80" s="8">
        <f>IF(Responses!AI80="","",IF(Responses!AI80="Selalu",4,IF(Responses!AI80="Sering",3,IF(Responses!AI80="Kadang - Kadang",2,IF(Responses!AI80="Jarang",1,0)))))</f>
        <v>2</v>
      </c>
      <c r="K80" s="8">
        <f>IF(Responses!AJ80="","",IF(Responses!AJ80="Selalu",4,IF(Responses!AJ80="Sering",3,IF(Responses!AJ80="Kadang - Kadang",2,IF(Responses!AJ80="Jarang",1,0)))))</f>
        <v>3</v>
      </c>
      <c r="L80" s="8">
        <f>IF(Responses!AK80="","",IF(Responses!AK80="Selalu",4,IF(Responses!AK80="Sering",3,IF(Responses!AK80="Kadang - Kadang",2,IF(Responses!AK80="Jarang",1,0)))))</f>
        <v>1</v>
      </c>
      <c r="M80" s="8">
        <f>IF(Responses!AL80="","",IF(Responses!AL80="Selalu",4,IF(Responses!AL80="Sering",3,IF(Responses!AL80="Kadang - Kadang",2,IF(Responses!AL80="Jarang",1,0)))))</f>
        <v>1</v>
      </c>
      <c r="N80" s="8">
        <f>IF(Responses!AM80="","",IF(Responses!AM80="Selalu",4,IF(Responses!AM80="Sering",3,IF(Responses!AM80="Kadang - Kadang",2,IF(Responses!AM80="Jarang",1,0)))))</f>
        <v>3</v>
      </c>
      <c r="O80" s="8">
        <f>IF(Responses!AN80="","",IF(Responses!AN80="Selalu",4,IF(Responses!AN80="Sering",3,IF(Responses!AN80="Kadang - Kadang",2,IF(Responses!AN80="Jarang",1,0)))))</f>
        <v>3</v>
      </c>
      <c r="P80" s="8">
        <f>IF(Responses!AO80="","",IF(Responses!AO80="Selalu",4,IF(Responses!AO80="Sering",3,IF(Responses!AO80="Kadang - Kadang",2,IF(Responses!AO80="Jarang",1,0)))))</f>
        <v>1</v>
      </c>
      <c r="Q80" s="8">
        <f>IF(Responses!AP80="","",IF(Responses!AP80="Selalu",4,IF(Responses!AP80="Sering",3,IF(Responses!AP80="Kadang - Kadang",2,IF(Responses!AP80="Jarang",1,0)))))</f>
        <v>1</v>
      </c>
      <c r="R80" s="8">
        <f>IF(Responses!AQ80="","",IF(Responses!AQ80="Selalu",4,IF(Responses!AQ80="Sering",3,IF(Responses!AQ80="Kadang - Kadang",2,IF(Responses!AQ80="Jarang",1,0)))))</f>
        <v>1</v>
      </c>
      <c r="S80" s="8">
        <f>IF(Responses!AR80="","",IF(Responses!AR80="Selalu",4,IF(Responses!AR80="Sering",3,IF(Responses!AR80="Kadang - Kadang",2,IF(Responses!AR80="Jarang",1,0)))))</f>
        <v>1</v>
      </c>
      <c r="T80" s="8">
        <f>IF(Responses!AS80="","",IF(Responses!AS80="Selalu",4,IF(Responses!AS80="Sering",3,IF(Responses!AS80="Kadang - Kadang",2,IF(Responses!AS80="Jarang",1,0)))))</f>
        <v>1</v>
      </c>
      <c r="U80" s="8">
        <f>IF(Responses!AT80="","",IF(Responses!AT80="Selalu",4,IF(Responses!AT80="Sering",3,IF(Responses!AT80="Kadang - Kadang",2,IF(Responses!AT80="Jarang",1,0)))))</f>
        <v>2</v>
      </c>
      <c r="V80" s="8">
        <f>IF(Responses!AU80="","",IF(Responses!AU80="Selalu",4,IF(Responses!AU80="Sering",3,IF(Responses!AU80="Kadang - Kadang",2,IF(Responses!AU80="Jarang",1,0)))))</f>
        <v>1</v>
      </c>
      <c r="W80" s="8">
        <f>IF(Responses!AV80="","",IF(Responses!AV80="Selalu",4,IF(Responses!AV80="Sering",3,IF(Responses!AV80="Kadang - Kadang",2,IF(Responses!AV80="Jarang",1,0)))))</f>
        <v>2</v>
      </c>
      <c r="X80" s="8">
        <f>IF(Responses!AW80="","",IF(Responses!AW80="Selalu",4,IF(Responses!AW80="Sering",3,IF(Responses!AW80="Kadang - Kadang",2,IF(Responses!AW80="Jarang",1,0)))))</f>
        <v>2</v>
      </c>
      <c r="Y80" s="20">
        <f t="shared" si="4"/>
        <v>29</v>
      </c>
      <c r="Z80" s="22" t="str">
        <f t="shared" si="5"/>
        <v>Tidak/Sedikit Kecanduan</v>
      </c>
    </row>
    <row r="81" spans="1:26" ht="24" customHeight="1" x14ac:dyDescent="0.3">
      <c r="A81" s="19" t="str">
        <f>Responses!A81</f>
        <v>9N9eKqE</v>
      </c>
      <c r="B81" s="19" t="str">
        <f>Responses!B81</f>
        <v>kd0qKWj</v>
      </c>
      <c r="C81" s="19">
        <f>Responses!C81</f>
        <v>46136.101678240739</v>
      </c>
      <c r="D81" s="19" t="str">
        <f>Responses!D81</f>
        <v xml:space="preserve">Muthia Orshida Ibrohim </v>
      </c>
      <c r="E81" s="19" t="str">
        <f>Responses!E81</f>
        <v>XI-3</v>
      </c>
      <c r="F81" s="19">
        <f>Responses!F81</f>
        <v>17</v>
      </c>
      <c r="G81" s="8">
        <f>IF(Responses!AF81="","",IF(Responses!AF81="Selalu",4,IF(Responses!AF81="Sering",3,IF(Responses!AF81="Kadang - Kadang",2,IF(Responses!AF81="Jarang",1,0)))))</f>
        <v>3</v>
      </c>
      <c r="H81" s="8">
        <f>IF(Responses!AG81="","",IF(Responses!AG81="Selalu",4,IF(Responses!AG81="Sering",3,IF(Responses!AG81="Kadang - Kadang",2,IF(Responses!AG81="Jarang",1,0)))))</f>
        <v>2</v>
      </c>
      <c r="I81" s="8">
        <f>IF(Responses!AH81="","",IF(Responses!AH81="Selalu",4,IF(Responses!AH81="Sering",3,IF(Responses!AH81="Kadang - Kadang",2,IF(Responses!AH81="Jarang",1,0)))))</f>
        <v>3</v>
      </c>
      <c r="J81" s="8">
        <f>IF(Responses!AI81="","",IF(Responses!AI81="Selalu",4,IF(Responses!AI81="Sering",3,IF(Responses!AI81="Kadang - Kadang",2,IF(Responses!AI81="Jarang",1,0)))))</f>
        <v>2</v>
      </c>
      <c r="K81" s="8">
        <f>IF(Responses!AJ81="","",IF(Responses!AJ81="Selalu",4,IF(Responses!AJ81="Sering",3,IF(Responses!AJ81="Kadang - Kadang",2,IF(Responses!AJ81="Jarang",1,0)))))</f>
        <v>2</v>
      </c>
      <c r="L81" s="8">
        <f>IF(Responses!AK81="","",IF(Responses!AK81="Selalu",4,IF(Responses!AK81="Sering",3,IF(Responses!AK81="Kadang - Kadang",2,IF(Responses!AK81="Jarang",1,0)))))</f>
        <v>3</v>
      </c>
      <c r="M81" s="8">
        <f>IF(Responses!AL81="","",IF(Responses!AL81="Selalu",4,IF(Responses!AL81="Sering",3,IF(Responses!AL81="Kadang - Kadang",2,IF(Responses!AL81="Jarang",1,0)))))</f>
        <v>3</v>
      </c>
      <c r="N81" s="8">
        <f>IF(Responses!AM81="","",IF(Responses!AM81="Selalu",4,IF(Responses!AM81="Sering",3,IF(Responses!AM81="Kadang - Kadang",2,IF(Responses!AM81="Jarang",1,0)))))</f>
        <v>3</v>
      </c>
      <c r="O81" s="8">
        <f>IF(Responses!AN81="","",IF(Responses!AN81="Selalu",4,IF(Responses!AN81="Sering",3,IF(Responses!AN81="Kadang - Kadang",2,IF(Responses!AN81="Jarang",1,0)))))</f>
        <v>1</v>
      </c>
      <c r="P81" s="8">
        <f>IF(Responses!AO81="","",IF(Responses!AO81="Selalu",4,IF(Responses!AO81="Sering",3,IF(Responses!AO81="Kadang - Kadang",2,IF(Responses!AO81="Jarang",1,0)))))</f>
        <v>3</v>
      </c>
      <c r="Q81" s="8">
        <f>IF(Responses!AP81="","",IF(Responses!AP81="Selalu",4,IF(Responses!AP81="Sering",3,IF(Responses!AP81="Kadang - Kadang",2,IF(Responses!AP81="Jarang",1,0)))))</f>
        <v>2</v>
      </c>
      <c r="R81" s="8">
        <f>IF(Responses!AQ81="","",IF(Responses!AQ81="Selalu",4,IF(Responses!AQ81="Sering",3,IF(Responses!AQ81="Kadang - Kadang",2,IF(Responses!AQ81="Jarang",1,0)))))</f>
        <v>2</v>
      </c>
      <c r="S81" s="8">
        <f>IF(Responses!AR81="","",IF(Responses!AR81="Selalu",4,IF(Responses!AR81="Sering",3,IF(Responses!AR81="Kadang - Kadang",2,IF(Responses!AR81="Jarang",1,0)))))</f>
        <v>3</v>
      </c>
      <c r="T81" s="8">
        <f>IF(Responses!AS81="","",IF(Responses!AS81="Selalu",4,IF(Responses!AS81="Sering",3,IF(Responses!AS81="Kadang - Kadang",2,IF(Responses!AS81="Jarang",1,0)))))</f>
        <v>2</v>
      </c>
      <c r="U81" s="8">
        <f>IF(Responses!AT81="","",IF(Responses!AT81="Selalu",4,IF(Responses!AT81="Sering",3,IF(Responses!AT81="Kadang - Kadang",2,IF(Responses!AT81="Jarang",1,0)))))</f>
        <v>3</v>
      </c>
      <c r="V81" s="8">
        <f>IF(Responses!AU81="","",IF(Responses!AU81="Selalu",4,IF(Responses!AU81="Sering",3,IF(Responses!AU81="Kadang - Kadang",2,IF(Responses!AU81="Jarang",1,0)))))</f>
        <v>2</v>
      </c>
      <c r="W81" s="8">
        <f>IF(Responses!AV81="","",IF(Responses!AV81="Selalu",4,IF(Responses!AV81="Sering",3,IF(Responses!AV81="Kadang - Kadang",2,IF(Responses!AV81="Jarang",1,0)))))</f>
        <v>2</v>
      </c>
      <c r="X81" s="8">
        <f>IF(Responses!AW81="","",IF(Responses!AW81="Selalu",4,IF(Responses!AW81="Sering",3,IF(Responses!AW81="Kadang - Kadang",2,IF(Responses!AW81="Jarang",1,0)))))</f>
        <v>2</v>
      </c>
      <c r="Y81" s="20">
        <f t="shared" si="4"/>
        <v>43</v>
      </c>
      <c r="Z81" s="22" t="str">
        <f t="shared" si="5"/>
        <v>Kemungkinan Kecanduan</v>
      </c>
    </row>
    <row r="82" spans="1:26" x14ac:dyDescent="0.3">
      <c r="A82" s="19" t="str">
        <f>Responses!A82</f>
        <v>je6KVBx</v>
      </c>
      <c r="B82" s="19" t="str">
        <f>Responses!B82</f>
        <v>GxoWX7L</v>
      </c>
      <c r="C82" s="19">
        <f>Responses!C82</f>
        <v>46136.101724537039</v>
      </c>
      <c r="D82" s="19" t="str">
        <f>Responses!D82</f>
        <v xml:space="preserve">R. Raihan Pratama </v>
      </c>
      <c r="E82" s="19" t="str">
        <f>Responses!E82</f>
        <v>XI-3</v>
      </c>
      <c r="F82" s="19">
        <f>Responses!F82</f>
        <v>17</v>
      </c>
      <c r="G82" s="8">
        <f>IF(Responses!AF82="","",IF(Responses!AF82="Selalu",4,IF(Responses!AF82="Sering",3,IF(Responses!AF82="Kadang - Kadang",2,IF(Responses!AF82="Jarang",1,0)))))</f>
        <v>4</v>
      </c>
      <c r="H82" s="8">
        <f>IF(Responses!AG82="","",IF(Responses!AG82="Selalu",4,IF(Responses!AG82="Sering",3,IF(Responses!AG82="Kadang - Kadang",2,IF(Responses!AG82="Jarang",1,0)))))</f>
        <v>2</v>
      </c>
      <c r="I82" s="8">
        <f>IF(Responses!AH82="","",IF(Responses!AH82="Selalu",4,IF(Responses!AH82="Sering",3,IF(Responses!AH82="Kadang - Kadang",2,IF(Responses!AH82="Jarang",1,0)))))</f>
        <v>3</v>
      </c>
      <c r="J82" s="8">
        <f>IF(Responses!AI82="","",IF(Responses!AI82="Selalu",4,IF(Responses!AI82="Sering",3,IF(Responses!AI82="Kadang - Kadang",2,IF(Responses!AI82="Jarang",1,0)))))</f>
        <v>1</v>
      </c>
      <c r="K82" s="8">
        <f>IF(Responses!AJ82="","",IF(Responses!AJ82="Selalu",4,IF(Responses!AJ82="Sering",3,IF(Responses!AJ82="Kadang - Kadang",2,IF(Responses!AJ82="Jarang",1,0)))))</f>
        <v>3</v>
      </c>
      <c r="L82" s="8">
        <f>IF(Responses!AK82="","",IF(Responses!AK82="Selalu",4,IF(Responses!AK82="Sering",3,IF(Responses!AK82="Kadang - Kadang",2,IF(Responses!AK82="Jarang",1,0)))))</f>
        <v>1</v>
      </c>
      <c r="M82" s="8">
        <f>IF(Responses!AL82="","",IF(Responses!AL82="Selalu",4,IF(Responses!AL82="Sering",3,IF(Responses!AL82="Kadang - Kadang",2,IF(Responses!AL82="Jarang",1,0)))))</f>
        <v>3</v>
      </c>
      <c r="N82" s="8">
        <f>IF(Responses!AM82="","",IF(Responses!AM82="Selalu",4,IF(Responses!AM82="Sering",3,IF(Responses!AM82="Kadang - Kadang",2,IF(Responses!AM82="Jarang",1,0)))))</f>
        <v>3</v>
      </c>
      <c r="O82" s="8">
        <f>IF(Responses!AN82="","",IF(Responses!AN82="Selalu",4,IF(Responses!AN82="Sering",3,IF(Responses!AN82="Kadang - Kadang",2,IF(Responses!AN82="Jarang",1,0)))))</f>
        <v>1</v>
      </c>
      <c r="P82" s="8">
        <f>IF(Responses!AO82="","",IF(Responses!AO82="Selalu",4,IF(Responses!AO82="Sering",3,IF(Responses!AO82="Kadang - Kadang",2,IF(Responses!AO82="Jarang",1,0)))))</f>
        <v>2</v>
      </c>
      <c r="Q82" s="8">
        <f>IF(Responses!AP82="","",IF(Responses!AP82="Selalu",4,IF(Responses!AP82="Sering",3,IF(Responses!AP82="Kadang - Kadang",2,IF(Responses!AP82="Jarang",1,0)))))</f>
        <v>0</v>
      </c>
      <c r="R82" s="8">
        <f>IF(Responses!AQ82="","",IF(Responses!AQ82="Selalu",4,IF(Responses!AQ82="Sering",3,IF(Responses!AQ82="Kadang - Kadang",2,IF(Responses!AQ82="Jarang",1,0)))))</f>
        <v>1</v>
      </c>
      <c r="S82" s="8">
        <f>IF(Responses!AR82="","",IF(Responses!AR82="Selalu",4,IF(Responses!AR82="Sering",3,IF(Responses!AR82="Kadang - Kadang",2,IF(Responses!AR82="Jarang",1,0)))))</f>
        <v>2</v>
      </c>
      <c r="T82" s="8">
        <f>IF(Responses!AS82="","",IF(Responses!AS82="Selalu",4,IF(Responses!AS82="Sering",3,IF(Responses!AS82="Kadang - Kadang",2,IF(Responses!AS82="Jarang",1,0)))))</f>
        <v>2</v>
      </c>
      <c r="U82" s="8">
        <f>IF(Responses!AT82="","",IF(Responses!AT82="Selalu",4,IF(Responses!AT82="Sering",3,IF(Responses!AT82="Kadang - Kadang",2,IF(Responses!AT82="Jarang",1,0)))))</f>
        <v>3</v>
      </c>
      <c r="V82" s="8">
        <f>IF(Responses!AU82="","",IF(Responses!AU82="Selalu",4,IF(Responses!AU82="Sering",3,IF(Responses!AU82="Kadang - Kadang",2,IF(Responses!AU82="Jarang",1,0)))))</f>
        <v>2</v>
      </c>
      <c r="W82" s="8">
        <f>IF(Responses!AV82="","",IF(Responses!AV82="Selalu",4,IF(Responses!AV82="Sering",3,IF(Responses!AV82="Kadang - Kadang",2,IF(Responses!AV82="Jarang",1,0)))))</f>
        <v>1</v>
      </c>
      <c r="X82" s="8">
        <f>IF(Responses!AW82="","",IF(Responses!AW82="Selalu",4,IF(Responses!AW82="Sering",3,IF(Responses!AW82="Kadang - Kadang",2,IF(Responses!AW82="Jarang",1,0)))))</f>
        <v>2</v>
      </c>
      <c r="Y82" s="20">
        <f t="shared" si="4"/>
        <v>36</v>
      </c>
      <c r="Z82" s="22" t="str">
        <f t="shared" si="5"/>
        <v>Kecanduan Borderline</v>
      </c>
    </row>
    <row r="83" spans="1:26" x14ac:dyDescent="0.3">
      <c r="A83" s="19" t="str">
        <f>Responses!A83</f>
        <v>rDaXZGp</v>
      </c>
      <c r="B83" s="19" t="str">
        <f>Responses!B83</f>
        <v>GxoWXOo</v>
      </c>
      <c r="C83" s="19">
        <f>Responses!C83</f>
        <v>46136.101770833331</v>
      </c>
      <c r="D83" s="19" t="str">
        <f>Responses!D83</f>
        <v xml:space="preserve">Patricia Estherias Kusuma </v>
      </c>
      <c r="E83" s="19" t="str">
        <f>Responses!E83</f>
        <v>XI-3</v>
      </c>
      <c r="F83" s="19">
        <f>Responses!F83</f>
        <v>16</v>
      </c>
      <c r="G83" s="8">
        <f>IF(Responses!AF83="","",IF(Responses!AF83="Selalu",4,IF(Responses!AF83="Sering",3,IF(Responses!AF83="Kadang - Kadang",2,IF(Responses!AF83="Jarang",1,0)))))</f>
        <v>2</v>
      </c>
      <c r="H83" s="8">
        <f>IF(Responses!AG83="","",IF(Responses!AG83="Selalu",4,IF(Responses!AG83="Sering",3,IF(Responses!AG83="Kadang - Kadang",2,IF(Responses!AG83="Jarang",1,0)))))</f>
        <v>1</v>
      </c>
      <c r="I83" s="8">
        <f>IF(Responses!AH83="","",IF(Responses!AH83="Selalu",4,IF(Responses!AH83="Sering",3,IF(Responses!AH83="Kadang - Kadang",2,IF(Responses!AH83="Jarang",1,0)))))</f>
        <v>3</v>
      </c>
      <c r="J83" s="8">
        <f>IF(Responses!AI83="","",IF(Responses!AI83="Selalu",4,IF(Responses!AI83="Sering",3,IF(Responses!AI83="Kadang - Kadang",2,IF(Responses!AI83="Jarang",1,0)))))</f>
        <v>3</v>
      </c>
      <c r="K83" s="8">
        <f>IF(Responses!AJ83="","",IF(Responses!AJ83="Selalu",4,IF(Responses!AJ83="Sering",3,IF(Responses!AJ83="Kadang - Kadang",2,IF(Responses!AJ83="Jarang",1,0)))))</f>
        <v>3</v>
      </c>
      <c r="L83" s="8">
        <f>IF(Responses!AK83="","",IF(Responses!AK83="Selalu",4,IF(Responses!AK83="Sering",3,IF(Responses!AK83="Kadang - Kadang",2,IF(Responses!AK83="Jarang",1,0)))))</f>
        <v>1</v>
      </c>
      <c r="M83" s="8">
        <f>IF(Responses!AL83="","",IF(Responses!AL83="Selalu",4,IF(Responses!AL83="Sering",3,IF(Responses!AL83="Kadang - Kadang",2,IF(Responses!AL83="Jarang",1,0)))))</f>
        <v>2</v>
      </c>
      <c r="N83" s="8">
        <f>IF(Responses!AM83="","",IF(Responses!AM83="Selalu",4,IF(Responses!AM83="Sering",3,IF(Responses!AM83="Kadang - Kadang",2,IF(Responses!AM83="Jarang",1,0)))))</f>
        <v>4</v>
      </c>
      <c r="O83" s="8">
        <f>IF(Responses!AN83="","",IF(Responses!AN83="Selalu",4,IF(Responses!AN83="Sering",3,IF(Responses!AN83="Kadang - Kadang",2,IF(Responses!AN83="Jarang",1,0)))))</f>
        <v>3</v>
      </c>
      <c r="P83" s="8">
        <f>IF(Responses!AO83="","",IF(Responses!AO83="Selalu",4,IF(Responses!AO83="Sering",3,IF(Responses!AO83="Kadang - Kadang",2,IF(Responses!AO83="Jarang",1,0)))))</f>
        <v>1</v>
      </c>
      <c r="Q83" s="8">
        <f>IF(Responses!AP83="","",IF(Responses!AP83="Selalu",4,IF(Responses!AP83="Sering",3,IF(Responses!AP83="Kadang - Kadang",2,IF(Responses!AP83="Jarang",1,0)))))</f>
        <v>2</v>
      </c>
      <c r="R83" s="8">
        <f>IF(Responses!AQ83="","",IF(Responses!AQ83="Selalu",4,IF(Responses!AQ83="Sering",3,IF(Responses!AQ83="Kadang - Kadang",2,IF(Responses!AQ83="Jarang",1,0)))))</f>
        <v>0</v>
      </c>
      <c r="S83" s="8">
        <f>IF(Responses!AR83="","",IF(Responses!AR83="Selalu",4,IF(Responses!AR83="Sering",3,IF(Responses!AR83="Kadang - Kadang",2,IF(Responses!AR83="Jarang",1,0)))))</f>
        <v>3</v>
      </c>
      <c r="T83" s="8">
        <f>IF(Responses!AS83="","",IF(Responses!AS83="Selalu",4,IF(Responses!AS83="Sering",3,IF(Responses!AS83="Kadang - Kadang",2,IF(Responses!AS83="Jarang",1,0)))))</f>
        <v>1</v>
      </c>
      <c r="U83" s="8">
        <f>IF(Responses!AT83="","",IF(Responses!AT83="Selalu",4,IF(Responses!AT83="Sering",3,IF(Responses!AT83="Kadang - Kadang",2,IF(Responses!AT83="Jarang",1,0)))))</f>
        <v>2</v>
      </c>
      <c r="V83" s="8">
        <f>IF(Responses!AU83="","",IF(Responses!AU83="Selalu",4,IF(Responses!AU83="Sering",3,IF(Responses!AU83="Kadang - Kadang",2,IF(Responses!AU83="Jarang",1,0)))))</f>
        <v>2</v>
      </c>
      <c r="W83" s="8">
        <f>IF(Responses!AV83="","",IF(Responses!AV83="Selalu",4,IF(Responses!AV83="Sering",3,IF(Responses!AV83="Kadang - Kadang",2,IF(Responses!AV83="Jarang",1,0)))))</f>
        <v>1</v>
      </c>
      <c r="X83" s="8">
        <f>IF(Responses!AW83="","",IF(Responses!AW83="Selalu",4,IF(Responses!AW83="Sering",3,IF(Responses!AW83="Kadang - Kadang",2,IF(Responses!AW83="Jarang",1,0)))))</f>
        <v>2</v>
      </c>
      <c r="Y83" s="20">
        <f t="shared" si="4"/>
        <v>36</v>
      </c>
      <c r="Z83" s="22" t="str">
        <f t="shared" si="5"/>
        <v>Kecanduan Borderline</v>
      </c>
    </row>
    <row r="84" spans="1:26" ht="24" customHeight="1" x14ac:dyDescent="0.3">
      <c r="A84" s="19" t="str">
        <f>Responses!A84</f>
        <v>RWMO9VQ</v>
      </c>
      <c r="B84" s="19" t="str">
        <f>Responses!B84</f>
        <v>yP0Lja0</v>
      </c>
      <c r="C84" s="19">
        <f>Responses!C84</f>
        <v>46136.101782407408</v>
      </c>
      <c r="D84" s="19" t="str">
        <f>Responses!D84</f>
        <v>Nandana Arfa Hanani</v>
      </c>
      <c r="E84" s="19" t="str">
        <f>Responses!E84</f>
        <v>XI-3</v>
      </c>
      <c r="F84" s="19">
        <f>Responses!F84</f>
        <v>16</v>
      </c>
      <c r="G84" s="8">
        <f>IF(Responses!AF84="","",IF(Responses!AF84="Selalu",4,IF(Responses!AF84="Sering",3,IF(Responses!AF84="Kadang - Kadang",2,IF(Responses!AF84="Jarang",1,0)))))</f>
        <v>4</v>
      </c>
      <c r="H84" s="8">
        <f>IF(Responses!AG84="","",IF(Responses!AG84="Selalu",4,IF(Responses!AG84="Sering",3,IF(Responses!AG84="Kadang - Kadang",2,IF(Responses!AG84="Jarang",1,0)))))</f>
        <v>2</v>
      </c>
      <c r="I84" s="8">
        <f>IF(Responses!AH84="","",IF(Responses!AH84="Selalu",4,IF(Responses!AH84="Sering",3,IF(Responses!AH84="Kadang - Kadang",2,IF(Responses!AH84="Jarang",1,0)))))</f>
        <v>3</v>
      </c>
      <c r="J84" s="8">
        <f>IF(Responses!AI84="","",IF(Responses!AI84="Selalu",4,IF(Responses!AI84="Sering",3,IF(Responses!AI84="Kadang - Kadang",2,IF(Responses!AI84="Jarang",1,0)))))</f>
        <v>1</v>
      </c>
      <c r="K84" s="8">
        <f>IF(Responses!AJ84="","",IF(Responses!AJ84="Selalu",4,IF(Responses!AJ84="Sering",3,IF(Responses!AJ84="Kadang - Kadang",2,IF(Responses!AJ84="Jarang",1,0)))))</f>
        <v>2</v>
      </c>
      <c r="L84" s="8">
        <f>IF(Responses!AK84="","",IF(Responses!AK84="Selalu",4,IF(Responses!AK84="Sering",3,IF(Responses!AK84="Kadang - Kadang",2,IF(Responses!AK84="Jarang",1,0)))))</f>
        <v>2</v>
      </c>
      <c r="M84" s="8">
        <f>IF(Responses!AL84="","",IF(Responses!AL84="Selalu",4,IF(Responses!AL84="Sering",3,IF(Responses!AL84="Kadang - Kadang",2,IF(Responses!AL84="Jarang",1,0)))))</f>
        <v>3</v>
      </c>
      <c r="N84" s="8">
        <f>IF(Responses!AM84="","",IF(Responses!AM84="Selalu",4,IF(Responses!AM84="Sering",3,IF(Responses!AM84="Kadang - Kadang",2,IF(Responses!AM84="Jarang",1,0)))))</f>
        <v>3</v>
      </c>
      <c r="O84" s="8">
        <f>IF(Responses!AN84="","",IF(Responses!AN84="Selalu",4,IF(Responses!AN84="Sering",3,IF(Responses!AN84="Kadang - Kadang",2,IF(Responses!AN84="Jarang",1,0)))))</f>
        <v>4</v>
      </c>
      <c r="P84" s="8">
        <f>IF(Responses!AO84="","",IF(Responses!AO84="Selalu",4,IF(Responses!AO84="Sering",3,IF(Responses!AO84="Kadang - Kadang",2,IF(Responses!AO84="Jarang",1,0)))))</f>
        <v>3</v>
      </c>
      <c r="Q84" s="8">
        <f>IF(Responses!AP84="","",IF(Responses!AP84="Selalu",4,IF(Responses!AP84="Sering",3,IF(Responses!AP84="Kadang - Kadang",2,IF(Responses!AP84="Jarang",1,0)))))</f>
        <v>0</v>
      </c>
      <c r="R84" s="8">
        <f>IF(Responses!AQ84="","",IF(Responses!AQ84="Selalu",4,IF(Responses!AQ84="Sering",3,IF(Responses!AQ84="Kadang - Kadang",2,IF(Responses!AQ84="Jarang",1,0)))))</f>
        <v>3</v>
      </c>
      <c r="S84" s="8">
        <f>IF(Responses!AR84="","",IF(Responses!AR84="Selalu",4,IF(Responses!AR84="Sering",3,IF(Responses!AR84="Kadang - Kadang",2,IF(Responses!AR84="Jarang",1,0)))))</f>
        <v>4</v>
      </c>
      <c r="T84" s="8">
        <f>IF(Responses!AS84="","",IF(Responses!AS84="Selalu",4,IF(Responses!AS84="Sering",3,IF(Responses!AS84="Kadang - Kadang",2,IF(Responses!AS84="Jarang",1,0)))))</f>
        <v>2</v>
      </c>
      <c r="U84" s="8">
        <f>IF(Responses!AT84="","",IF(Responses!AT84="Selalu",4,IF(Responses!AT84="Sering",3,IF(Responses!AT84="Kadang - Kadang",2,IF(Responses!AT84="Jarang",1,0)))))</f>
        <v>4</v>
      </c>
      <c r="V84" s="8">
        <f>IF(Responses!AU84="","",IF(Responses!AU84="Selalu",4,IF(Responses!AU84="Sering",3,IF(Responses!AU84="Kadang - Kadang",2,IF(Responses!AU84="Jarang",1,0)))))</f>
        <v>2</v>
      </c>
      <c r="W84" s="8">
        <f>IF(Responses!AV84="","",IF(Responses!AV84="Selalu",4,IF(Responses!AV84="Sering",3,IF(Responses!AV84="Kadang - Kadang",2,IF(Responses!AV84="Jarang",1,0)))))</f>
        <v>3</v>
      </c>
      <c r="X84" s="8">
        <f>IF(Responses!AW84="","",IF(Responses!AW84="Selalu",4,IF(Responses!AW84="Sering",3,IF(Responses!AW84="Kadang - Kadang",2,IF(Responses!AW84="Jarang",1,0)))))</f>
        <v>1</v>
      </c>
      <c r="Y84" s="20">
        <f t="shared" si="4"/>
        <v>46</v>
      </c>
      <c r="Z84" s="22" t="str">
        <f t="shared" si="5"/>
        <v>Kemungkinan Kecanduan</v>
      </c>
    </row>
    <row r="85" spans="1:26" ht="24" customHeight="1" x14ac:dyDescent="0.3">
      <c r="A85" s="19" t="str">
        <f>Responses!A85</f>
        <v>q5Dyl2d</v>
      </c>
      <c r="B85" s="19" t="str">
        <f>Responses!B85</f>
        <v>b52PYlL</v>
      </c>
      <c r="C85" s="19">
        <f>Responses!C85</f>
        <v>46136.101875</v>
      </c>
      <c r="D85" s="19" t="str">
        <f>Responses!D85</f>
        <v xml:space="preserve">Ulfia Sa'adatun Ni'mah </v>
      </c>
      <c r="E85" s="19" t="str">
        <f>Responses!E85</f>
        <v>XI-3</v>
      </c>
      <c r="F85" s="19">
        <f>Responses!F85</f>
        <v>17</v>
      </c>
      <c r="G85" s="8">
        <f>IF(Responses!AF85="","",IF(Responses!AF85="Selalu",4,IF(Responses!AF85="Sering",3,IF(Responses!AF85="Kadang - Kadang",2,IF(Responses!AF85="Jarang",1,0)))))</f>
        <v>4</v>
      </c>
      <c r="H85" s="8">
        <f>IF(Responses!AG85="","",IF(Responses!AG85="Selalu",4,IF(Responses!AG85="Sering",3,IF(Responses!AG85="Kadang - Kadang",2,IF(Responses!AG85="Jarang",1,0)))))</f>
        <v>4</v>
      </c>
      <c r="I85" s="8">
        <f>IF(Responses!AH85="","",IF(Responses!AH85="Selalu",4,IF(Responses!AH85="Sering",3,IF(Responses!AH85="Kadang - Kadang",2,IF(Responses!AH85="Jarang",1,0)))))</f>
        <v>4</v>
      </c>
      <c r="J85" s="8">
        <f>IF(Responses!AI85="","",IF(Responses!AI85="Selalu",4,IF(Responses!AI85="Sering",3,IF(Responses!AI85="Kadang - Kadang",2,IF(Responses!AI85="Jarang",1,0)))))</f>
        <v>2</v>
      </c>
      <c r="K85" s="8">
        <f>IF(Responses!AJ85="","",IF(Responses!AJ85="Selalu",4,IF(Responses!AJ85="Sering",3,IF(Responses!AJ85="Kadang - Kadang",2,IF(Responses!AJ85="Jarang",1,0)))))</f>
        <v>3</v>
      </c>
      <c r="L85" s="8">
        <f>IF(Responses!AK85="","",IF(Responses!AK85="Selalu",4,IF(Responses!AK85="Sering",3,IF(Responses!AK85="Kadang - Kadang",2,IF(Responses!AK85="Jarang",1,0)))))</f>
        <v>4</v>
      </c>
      <c r="M85" s="8">
        <f>IF(Responses!AL85="","",IF(Responses!AL85="Selalu",4,IF(Responses!AL85="Sering",3,IF(Responses!AL85="Kadang - Kadang",2,IF(Responses!AL85="Jarang",1,0)))))</f>
        <v>2</v>
      </c>
      <c r="N85" s="8">
        <f>IF(Responses!AM85="","",IF(Responses!AM85="Selalu",4,IF(Responses!AM85="Sering",3,IF(Responses!AM85="Kadang - Kadang",2,IF(Responses!AM85="Jarang",1,0)))))</f>
        <v>4</v>
      </c>
      <c r="O85" s="8">
        <f>IF(Responses!AN85="","",IF(Responses!AN85="Selalu",4,IF(Responses!AN85="Sering",3,IF(Responses!AN85="Kadang - Kadang",2,IF(Responses!AN85="Jarang",1,0)))))</f>
        <v>4</v>
      </c>
      <c r="P85" s="8">
        <f>IF(Responses!AO85="","",IF(Responses!AO85="Selalu",4,IF(Responses!AO85="Sering",3,IF(Responses!AO85="Kadang - Kadang",2,IF(Responses!AO85="Jarang",1,0)))))</f>
        <v>4</v>
      </c>
      <c r="Q85" s="8">
        <f>IF(Responses!AP85="","",IF(Responses!AP85="Selalu",4,IF(Responses!AP85="Sering",3,IF(Responses!AP85="Kadang - Kadang",2,IF(Responses!AP85="Jarang",1,0)))))</f>
        <v>2</v>
      </c>
      <c r="R85" s="8">
        <f>IF(Responses!AQ85="","",IF(Responses!AQ85="Selalu",4,IF(Responses!AQ85="Sering",3,IF(Responses!AQ85="Kadang - Kadang",2,IF(Responses!AQ85="Jarang",1,0)))))</f>
        <v>2</v>
      </c>
      <c r="S85" s="8">
        <f>IF(Responses!AR85="","",IF(Responses!AR85="Selalu",4,IF(Responses!AR85="Sering",3,IF(Responses!AR85="Kadang - Kadang",2,IF(Responses!AR85="Jarang",1,0)))))</f>
        <v>3</v>
      </c>
      <c r="T85" s="8">
        <f>IF(Responses!AS85="","",IF(Responses!AS85="Selalu",4,IF(Responses!AS85="Sering",3,IF(Responses!AS85="Kadang - Kadang",2,IF(Responses!AS85="Jarang",1,0)))))</f>
        <v>1</v>
      </c>
      <c r="U85" s="8">
        <f>IF(Responses!AT85="","",IF(Responses!AT85="Selalu",4,IF(Responses!AT85="Sering",3,IF(Responses!AT85="Kadang - Kadang",2,IF(Responses!AT85="Jarang",1,0)))))</f>
        <v>4</v>
      </c>
      <c r="V85" s="8">
        <f>IF(Responses!AU85="","",IF(Responses!AU85="Selalu",4,IF(Responses!AU85="Sering",3,IF(Responses!AU85="Kadang - Kadang",2,IF(Responses!AU85="Jarang",1,0)))))</f>
        <v>4</v>
      </c>
      <c r="W85" s="8">
        <f>IF(Responses!AV85="","",IF(Responses!AV85="Selalu",4,IF(Responses!AV85="Sering",3,IF(Responses!AV85="Kadang - Kadang",2,IF(Responses!AV85="Jarang",1,0)))))</f>
        <v>4</v>
      </c>
      <c r="X85" s="8">
        <f>IF(Responses!AW85="","",IF(Responses!AW85="Selalu",4,IF(Responses!AW85="Sering",3,IF(Responses!AW85="Kadang - Kadang",2,IF(Responses!AW85="Jarang",1,0)))))</f>
        <v>4</v>
      </c>
      <c r="Y85" s="20">
        <f t="shared" si="4"/>
        <v>59</v>
      </c>
      <c r="Z85" s="22" t="str">
        <f t="shared" si="5"/>
        <v>Kemungkinan Kecanduan</v>
      </c>
    </row>
    <row r="86" spans="1:26" ht="24" customHeight="1" x14ac:dyDescent="0.3">
      <c r="A86" s="19" t="str">
        <f>Responses!A86</f>
        <v>X5JjpgO</v>
      </c>
      <c r="B86" s="19" t="str">
        <f>Responses!B86</f>
        <v>lb0QMxN</v>
      </c>
      <c r="C86" s="19">
        <f>Responses!C86</f>
        <v>46136.102222222216</v>
      </c>
      <c r="D86" s="19" t="str">
        <f>Responses!D86</f>
        <v>Elice Benita M.</v>
      </c>
      <c r="E86" s="19" t="str">
        <f>Responses!E86</f>
        <v>XI-3</v>
      </c>
      <c r="F86" s="19">
        <f>Responses!F86</f>
        <v>17</v>
      </c>
      <c r="G86" s="8">
        <f>IF(Responses!AF86="","",IF(Responses!AF86="Selalu",4,IF(Responses!AF86="Sering",3,IF(Responses!AF86="Kadang - Kadang",2,IF(Responses!AF86="Jarang",1,0)))))</f>
        <v>1</v>
      </c>
      <c r="H86" s="8">
        <f>IF(Responses!AG86="","",IF(Responses!AG86="Selalu",4,IF(Responses!AG86="Sering",3,IF(Responses!AG86="Kadang - Kadang",2,IF(Responses!AG86="Jarang",1,0)))))</f>
        <v>1</v>
      </c>
      <c r="I86" s="8">
        <f>IF(Responses!AH86="","",IF(Responses!AH86="Selalu",4,IF(Responses!AH86="Sering",3,IF(Responses!AH86="Kadang - Kadang",2,IF(Responses!AH86="Jarang",1,0)))))</f>
        <v>2</v>
      </c>
      <c r="J86" s="8">
        <f>IF(Responses!AI86="","",IF(Responses!AI86="Selalu",4,IF(Responses!AI86="Sering",3,IF(Responses!AI86="Kadang - Kadang",2,IF(Responses!AI86="Jarang",1,0)))))</f>
        <v>0</v>
      </c>
      <c r="K86" s="8">
        <f>IF(Responses!AJ86="","",IF(Responses!AJ86="Selalu",4,IF(Responses!AJ86="Sering",3,IF(Responses!AJ86="Kadang - Kadang",2,IF(Responses!AJ86="Jarang",1,0)))))</f>
        <v>0</v>
      </c>
      <c r="L86" s="8">
        <f>IF(Responses!AK86="","",IF(Responses!AK86="Selalu",4,IF(Responses!AK86="Sering",3,IF(Responses!AK86="Kadang - Kadang",2,IF(Responses!AK86="Jarang",1,0)))))</f>
        <v>0</v>
      </c>
      <c r="M86" s="8">
        <f>IF(Responses!AL86="","",IF(Responses!AL86="Selalu",4,IF(Responses!AL86="Sering",3,IF(Responses!AL86="Kadang - Kadang",2,IF(Responses!AL86="Jarang",1,0)))))</f>
        <v>1</v>
      </c>
      <c r="N86" s="8">
        <f>IF(Responses!AM86="","",IF(Responses!AM86="Selalu",4,IF(Responses!AM86="Sering",3,IF(Responses!AM86="Kadang - Kadang",2,IF(Responses!AM86="Jarang",1,0)))))</f>
        <v>1</v>
      </c>
      <c r="O86" s="8">
        <f>IF(Responses!AN86="","",IF(Responses!AN86="Selalu",4,IF(Responses!AN86="Sering",3,IF(Responses!AN86="Kadang - Kadang",2,IF(Responses!AN86="Jarang",1,0)))))</f>
        <v>2</v>
      </c>
      <c r="P86" s="8">
        <f>IF(Responses!AO86="","",IF(Responses!AO86="Selalu",4,IF(Responses!AO86="Sering",3,IF(Responses!AO86="Kadang - Kadang",2,IF(Responses!AO86="Jarang",1,0)))))</f>
        <v>2</v>
      </c>
      <c r="Q86" s="8">
        <f>IF(Responses!AP86="","",IF(Responses!AP86="Selalu",4,IF(Responses!AP86="Sering",3,IF(Responses!AP86="Kadang - Kadang",2,IF(Responses!AP86="Jarang",1,0)))))</f>
        <v>2</v>
      </c>
      <c r="R86" s="8">
        <f>IF(Responses!AQ86="","",IF(Responses!AQ86="Selalu",4,IF(Responses!AQ86="Sering",3,IF(Responses!AQ86="Kadang - Kadang",2,IF(Responses!AQ86="Jarang",1,0)))))</f>
        <v>1</v>
      </c>
      <c r="S86" s="8">
        <f>IF(Responses!AR86="","",IF(Responses!AR86="Selalu",4,IF(Responses!AR86="Sering",3,IF(Responses!AR86="Kadang - Kadang",2,IF(Responses!AR86="Jarang",1,0)))))</f>
        <v>1</v>
      </c>
      <c r="T86" s="8">
        <f>IF(Responses!AS86="","",IF(Responses!AS86="Selalu",4,IF(Responses!AS86="Sering",3,IF(Responses!AS86="Kadang - Kadang",2,IF(Responses!AS86="Jarang",1,0)))))</f>
        <v>2</v>
      </c>
      <c r="U86" s="8">
        <f>IF(Responses!AT86="","",IF(Responses!AT86="Selalu",4,IF(Responses!AT86="Sering",3,IF(Responses!AT86="Kadang - Kadang",2,IF(Responses!AT86="Jarang",1,0)))))</f>
        <v>0</v>
      </c>
      <c r="V86" s="8">
        <f>IF(Responses!AU86="","",IF(Responses!AU86="Selalu",4,IF(Responses!AU86="Sering",3,IF(Responses!AU86="Kadang - Kadang",2,IF(Responses!AU86="Jarang",1,0)))))</f>
        <v>1</v>
      </c>
      <c r="W86" s="8">
        <f>IF(Responses!AV86="","",IF(Responses!AV86="Selalu",4,IF(Responses!AV86="Sering",3,IF(Responses!AV86="Kadang - Kadang",2,IF(Responses!AV86="Jarang",1,0)))))</f>
        <v>0</v>
      </c>
      <c r="X86" s="8">
        <f>IF(Responses!AW86="","",IF(Responses!AW86="Selalu",4,IF(Responses!AW86="Sering",3,IF(Responses!AW86="Kadang - Kadang",2,IF(Responses!AW86="Jarang",1,0)))))</f>
        <v>1</v>
      </c>
      <c r="Y86" s="20">
        <f t="shared" si="4"/>
        <v>18</v>
      </c>
      <c r="Z86" s="22" t="str">
        <f t="shared" si="5"/>
        <v>Tidak/Sedikit Kecanduan</v>
      </c>
    </row>
    <row r="87" spans="1:26" ht="24" customHeight="1" x14ac:dyDescent="0.3">
      <c r="A87" s="19" t="str">
        <f>Responses!A87</f>
        <v>7XLQQXP</v>
      </c>
      <c r="B87" s="19" t="str">
        <f>Responses!B87</f>
        <v>RGZpk4Q</v>
      </c>
      <c r="C87" s="19">
        <f>Responses!C87</f>
        <v>46136.102314814823</v>
      </c>
      <c r="D87" s="19" t="str">
        <f>Responses!D87</f>
        <v>Muhammad Revano Boutista</v>
      </c>
      <c r="E87" s="19" t="str">
        <f>Responses!E87</f>
        <v>XI-3</v>
      </c>
      <c r="F87" s="19">
        <f>Responses!F87</f>
        <v>16</v>
      </c>
      <c r="G87" s="8">
        <f>IF(Responses!AF87="","",IF(Responses!AF87="Selalu",4,IF(Responses!AF87="Sering",3,IF(Responses!AF87="Kadang - Kadang",2,IF(Responses!AF87="Jarang",1,0)))))</f>
        <v>1</v>
      </c>
      <c r="H87" s="8">
        <f>IF(Responses!AG87="","",IF(Responses!AG87="Selalu",4,IF(Responses!AG87="Sering",3,IF(Responses!AG87="Kadang - Kadang",2,IF(Responses!AG87="Jarang",1,0)))))</f>
        <v>1</v>
      </c>
      <c r="I87" s="8">
        <f>IF(Responses!AH87="","",IF(Responses!AH87="Selalu",4,IF(Responses!AH87="Sering",3,IF(Responses!AH87="Kadang - Kadang",2,IF(Responses!AH87="Jarang",1,0)))))</f>
        <v>2</v>
      </c>
      <c r="J87" s="8">
        <f>IF(Responses!AI87="","",IF(Responses!AI87="Selalu",4,IF(Responses!AI87="Sering",3,IF(Responses!AI87="Kadang - Kadang",2,IF(Responses!AI87="Jarang",1,0)))))</f>
        <v>0</v>
      </c>
      <c r="K87" s="8">
        <f>IF(Responses!AJ87="","",IF(Responses!AJ87="Selalu",4,IF(Responses!AJ87="Sering",3,IF(Responses!AJ87="Kadang - Kadang",2,IF(Responses!AJ87="Jarang",1,0)))))</f>
        <v>1</v>
      </c>
      <c r="L87" s="8">
        <f>IF(Responses!AK87="","",IF(Responses!AK87="Selalu",4,IF(Responses!AK87="Sering",3,IF(Responses!AK87="Kadang - Kadang",2,IF(Responses!AK87="Jarang",1,0)))))</f>
        <v>1</v>
      </c>
      <c r="M87" s="8">
        <f>IF(Responses!AL87="","",IF(Responses!AL87="Selalu",4,IF(Responses!AL87="Sering",3,IF(Responses!AL87="Kadang - Kadang",2,IF(Responses!AL87="Jarang",1,0)))))</f>
        <v>0</v>
      </c>
      <c r="N87" s="8">
        <f>IF(Responses!AM87="","",IF(Responses!AM87="Selalu",4,IF(Responses!AM87="Sering",3,IF(Responses!AM87="Kadang - Kadang",2,IF(Responses!AM87="Jarang",1,0)))))</f>
        <v>2</v>
      </c>
      <c r="O87" s="8">
        <f>IF(Responses!AN87="","",IF(Responses!AN87="Selalu",4,IF(Responses!AN87="Sering",3,IF(Responses!AN87="Kadang - Kadang",2,IF(Responses!AN87="Jarang",1,0)))))</f>
        <v>1</v>
      </c>
      <c r="P87" s="8">
        <f>IF(Responses!AO87="","",IF(Responses!AO87="Selalu",4,IF(Responses!AO87="Sering",3,IF(Responses!AO87="Kadang - Kadang",2,IF(Responses!AO87="Jarang",1,0)))))</f>
        <v>2</v>
      </c>
      <c r="Q87" s="8">
        <f>IF(Responses!AP87="","",IF(Responses!AP87="Selalu",4,IF(Responses!AP87="Sering",3,IF(Responses!AP87="Kadang - Kadang",2,IF(Responses!AP87="Jarang",1,0)))))</f>
        <v>0</v>
      </c>
      <c r="R87" s="8">
        <f>IF(Responses!AQ87="","",IF(Responses!AQ87="Selalu",4,IF(Responses!AQ87="Sering",3,IF(Responses!AQ87="Kadang - Kadang",2,IF(Responses!AQ87="Jarang",1,0)))))</f>
        <v>0</v>
      </c>
      <c r="S87" s="8">
        <f>IF(Responses!AR87="","",IF(Responses!AR87="Selalu",4,IF(Responses!AR87="Sering",3,IF(Responses!AR87="Kadang - Kadang",2,IF(Responses!AR87="Jarang",1,0)))))</f>
        <v>0</v>
      </c>
      <c r="T87" s="8">
        <f>IF(Responses!AS87="","",IF(Responses!AS87="Selalu",4,IF(Responses!AS87="Sering",3,IF(Responses!AS87="Kadang - Kadang",2,IF(Responses!AS87="Jarang",1,0)))))</f>
        <v>1</v>
      </c>
      <c r="U87" s="8">
        <f>IF(Responses!AT87="","",IF(Responses!AT87="Selalu",4,IF(Responses!AT87="Sering",3,IF(Responses!AT87="Kadang - Kadang",2,IF(Responses!AT87="Jarang",1,0)))))</f>
        <v>0</v>
      </c>
      <c r="V87" s="8">
        <f>IF(Responses!AU87="","",IF(Responses!AU87="Selalu",4,IF(Responses!AU87="Sering",3,IF(Responses!AU87="Kadang - Kadang",2,IF(Responses!AU87="Jarang",1,0)))))</f>
        <v>0</v>
      </c>
      <c r="W87" s="8">
        <f>IF(Responses!AV87="","",IF(Responses!AV87="Selalu",4,IF(Responses!AV87="Sering",3,IF(Responses!AV87="Kadang - Kadang",2,IF(Responses!AV87="Jarang",1,0)))))</f>
        <v>0</v>
      </c>
      <c r="X87" s="8">
        <f>IF(Responses!AW87="","",IF(Responses!AW87="Selalu",4,IF(Responses!AW87="Sering",3,IF(Responses!AW87="Kadang - Kadang",2,IF(Responses!AW87="Jarang",1,0)))))</f>
        <v>0</v>
      </c>
      <c r="Y87" s="20">
        <f t="shared" si="4"/>
        <v>12</v>
      </c>
      <c r="Z87" s="22" t="str">
        <f t="shared" si="5"/>
        <v>Tidak/Sedikit Kecanduan</v>
      </c>
    </row>
    <row r="88" spans="1:26" ht="24" customHeight="1" x14ac:dyDescent="0.3">
      <c r="A88" s="19" t="str">
        <f>Responses!A88</f>
        <v>q5Dy6v5</v>
      </c>
      <c r="B88" s="19" t="str">
        <f>Responses!B88</f>
        <v>kd0qzQ1</v>
      </c>
      <c r="C88" s="19">
        <f>Responses!C88</f>
        <v>46136.10261574074</v>
      </c>
      <c r="D88" s="19" t="str">
        <f>Responses!D88</f>
        <v xml:space="preserve">Fachri Maulana Syihab </v>
      </c>
      <c r="E88" s="19" t="str">
        <f>Responses!E88</f>
        <v>XI-3</v>
      </c>
      <c r="F88" s="19">
        <f>Responses!F88</f>
        <v>17</v>
      </c>
      <c r="G88" s="8">
        <f>IF(Responses!AF88="","",IF(Responses!AF88="Selalu",4,IF(Responses!AF88="Sering",3,IF(Responses!AF88="Kadang - Kadang",2,IF(Responses!AF88="Jarang",1,0)))))</f>
        <v>1</v>
      </c>
      <c r="H88" s="8">
        <f>IF(Responses!AG88="","",IF(Responses!AG88="Selalu",4,IF(Responses!AG88="Sering",3,IF(Responses!AG88="Kadang - Kadang",2,IF(Responses!AG88="Jarang",1,0)))))</f>
        <v>1</v>
      </c>
      <c r="I88" s="8">
        <f>IF(Responses!AH88="","",IF(Responses!AH88="Selalu",4,IF(Responses!AH88="Sering",3,IF(Responses!AH88="Kadang - Kadang",2,IF(Responses!AH88="Jarang",1,0)))))</f>
        <v>2</v>
      </c>
      <c r="J88" s="8">
        <f>IF(Responses!AI88="","",IF(Responses!AI88="Selalu",4,IF(Responses!AI88="Sering",3,IF(Responses!AI88="Kadang - Kadang",2,IF(Responses!AI88="Jarang",1,0)))))</f>
        <v>0</v>
      </c>
      <c r="K88" s="8">
        <f>IF(Responses!AJ88="","",IF(Responses!AJ88="Selalu",4,IF(Responses!AJ88="Sering",3,IF(Responses!AJ88="Kadang - Kadang",2,IF(Responses!AJ88="Jarang",1,0)))))</f>
        <v>1</v>
      </c>
      <c r="L88" s="8">
        <f>IF(Responses!AK88="","",IF(Responses!AK88="Selalu",4,IF(Responses!AK88="Sering",3,IF(Responses!AK88="Kadang - Kadang",2,IF(Responses!AK88="Jarang",1,0)))))</f>
        <v>1</v>
      </c>
      <c r="M88" s="8">
        <f>IF(Responses!AL88="","",IF(Responses!AL88="Selalu",4,IF(Responses!AL88="Sering",3,IF(Responses!AL88="Kadang - Kadang",2,IF(Responses!AL88="Jarang",1,0)))))</f>
        <v>0</v>
      </c>
      <c r="N88" s="8">
        <f>IF(Responses!AM88="","",IF(Responses!AM88="Selalu",4,IF(Responses!AM88="Sering",3,IF(Responses!AM88="Kadang - Kadang",2,IF(Responses!AM88="Jarang",1,0)))))</f>
        <v>2</v>
      </c>
      <c r="O88" s="8">
        <f>IF(Responses!AN88="","",IF(Responses!AN88="Selalu",4,IF(Responses!AN88="Sering",3,IF(Responses!AN88="Kadang - Kadang",2,IF(Responses!AN88="Jarang",1,0)))))</f>
        <v>1</v>
      </c>
      <c r="P88" s="8">
        <f>IF(Responses!AO88="","",IF(Responses!AO88="Selalu",4,IF(Responses!AO88="Sering",3,IF(Responses!AO88="Kadang - Kadang",2,IF(Responses!AO88="Jarang",1,0)))))</f>
        <v>2</v>
      </c>
      <c r="Q88" s="8">
        <f>IF(Responses!AP88="","",IF(Responses!AP88="Selalu",4,IF(Responses!AP88="Sering",3,IF(Responses!AP88="Kadang - Kadang",2,IF(Responses!AP88="Jarang",1,0)))))</f>
        <v>0</v>
      </c>
      <c r="R88" s="8">
        <f>IF(Responses!AQ88="","",IF(Responses!AQ88="Selalu",4,IF(Responses!AQ88="Sering",3,IF(Responses!AQ88="Kadang - Kadang",2,IF(Responses!AQ88="Jarang",1,0)))))</f>
        <v>1</v>
      </c>
      <c r="S88" s="8">
        <f>IF(Responses!AR88="","",IF(Responses!AR88="Selalu",4,IF(Responses!AR88="Sering",3,IF(Responses!AR88="Kadang - Kadang",2,IF(Responses!AR88="Jarang",1,0)))))</f>
        <v>1</v>
      </c>
      <c r="T88" s="8">
        <f>IF(Responses!AS88="","",IF(Responses!AS88="Selalu",4,IF(Responses!AS88="Sering",3,IF(Responses!AS88="Kadang - Kadang",2,IF(Responses!AS88="Jarang",1,0)))))</f>
        <v>0</v>
      </c>
      <c r="U88" s="8">
        <f>IF(Responses!AT88="","",IF(Responses!AT88="Selalu",4,IF(Responses!AT88="Sering",3,IF(Responses!AT88="Kadang - Kadang",2,IF(Responses!AT88="Jarang",1,0)))))</f>
        <v>2</v>
      </c>
      <c r="V88" s="8">
        <f>IF(Responses!AU88="","",IF(Responses!AU88="Selalu",4,IF(Responses!AU88="Sering",3,IF(Responses!AU88="Kadang - Kadang",2,IF(Responses!AU88="Jarang",1,0)))))</f>
        <v>1</v>
      </c>
      <c r="W88" s="8">
        <f>IF(Responses!AV88="","",IF(Responses!AV88="Selalu",4,IF(Responses!AV88="Sering",3,IF(Responses!AV88="Kadang - Kadang",2,IF(Responses!AV88="Jarang",1,0)))))</f>
        <v>1</v>
      </c>
      <c r="X88" s="8">
        <f>IF(Responses!AW88="","",IF(Responses!AW88="Selalu",4,IF(Responses!AW88="Sering",3,IF(Responses!AW88="Kadang - Kadang",2,IF(Responses!AW88="Jarang",1,0)))))</f>
        <v>1</v>
      </c>
      <c r="Y88" s="20">
        <f t="shared" si="4"/>
        <v>18</v>
      </c>
      <c r="Z88" s="22" t="str">
        <f t="shared" si="5"/>
        <v>Tidak/Sedikit Kecanduan</v>
      </c>
    </row>
    <row r="89" spans="1:26" ht="24" customHeight="1" x14ac:dyDescent="0.3">
      <c r="A89" s="19" t="str">
        <f>Responses!A89</f>
        <v>zEyVlpE</v>
      </c>
      <c r="B89" s="19" t="str">
        <f>Responses!B89</f>
        <v>MerBGNk</v>
      </c>
      <c r="C89" s="19">
        <f>Responses!C89</f>
        <v>46136.102708333332</v>
      </c>
      <c r="D89" s="19" t="str">
        <f>Responses!D89</f>
        <v>mayra larasati</v>
      </c>
      <c r="E89" s="19" t="str">
        <f>Responses!E89</f>
        <v>XI-3</v>
      </c>
      <c r="F89" s="19">
        <f>Responses!F89</f>
        <v>16</v>
      </c>
      <c r="G89" s="8">
        <f>IF(Responses!AF89="","",IF(Responses!AF89="Selalu",4,IF(Responses!AF89="Sering",3,IF(Responses!AF89="Kadang - Kadang",2,IF(Responses!AF89="Jarang",1,0)))))</f>
        <v>3</v>
      </c>
      <c r="H89" s="8">
        <f>IF(Responses!AG89="","",IF(Responses!AG89="Selalu",4,IF(Responses!AG89="Sering",3,IF(Responses!AG89="Kadang - Kadang",2,IF(Responses!AG89="Jarang",1,0)))))</f>
        <v>1</v>
      </c>
      <c r="I89" s="8">
        <f>IF(Responses!AH89="","",IF(Responses!AH89="Selalu",4,IF(Responses!AH89="Sering",3,IF(Responses!AH89="Kadang - Kadang",2,IF(Responses!AH89="Jarang",1,0)))))</f>
        <v>2</v>
      </c>
      <c r="J89" s="8">
        <f>IF(Responses!AI89="","",IF(Responses!AI89="Selalu",4,IF(Responses!AI89="Sering",3,IF(Responses!AI89="Kadang - Kadang",2,IF(Responses!AI89="Jarang",1,0)))))</f>
        <v>1</v>
      </c>
      <c r="K89" s="8">
        <f>IF(Responses!AJ89="","",IF(Responses!AJ89="Selalu",4,IF(Responses!AJ89="Sering",3,IF(Responses!AJ89="Kadang - Kadang",2,IF(Responses!AJ89="Jarang",1,0)))))</f>
        <v>1</v>
      </c>
      <c r="L89" s="8">
        <f>IF(Responses!AK89="","",IF(Responses!AK89="Selalu",4,IF(Responses!AK89="Sering",3,IF(Responses!AK89="Kadang - Kadang",2,IF(Responses!AK89="Jarang",1,0)))))</f>
        <v>0</v>
      </c>
      <c r="M89" s="8">
        <f>IF(Responses!AL89="","",IF(Responses!AL89="Selalu",4,IF(Responses!AL89="Sering",3,IF(Responses!AL89="Kadang - Kadang",2,IF(Responses!AL89="Jarang",1,0)))))</f>
        <v>0</v>
      </c>
      <c r="N89" s="8">
        <f>IF(Responses!AM89="","",IF(Responses!AM89="Selalu",4,IF(Responses!AM89="Sering",3,IF(Responses!AM89="Kadang - Kadang",2,IF(Responses!AM89="Jarang",1,0)))))</f>
        <v>2</v>
      </c>
      <c r="O89" s="8">
        <f>IF(Responses!AN89="","",IF(Responses!AN89="Selalu",4,IF(Responses!AN89="Sering",3,IF(Responses!AN89="Kadang - Kadang",2,IF(Responses!AN89="Jarang",1,0)))))</f>
        <v>1</v>
      </c>
      <c r="P89" s="8">
        <f>IF(Responses!AO89="","",IF(Responses!AO89="Selalu",4,IF(Responses!AO89="Sering",3,IF(Responses!AO89="Kadang - Kadang",2,IF(Responses!AO89="Jarang",1,0)))))</f>
        <v>0</v>
      </c>
      <c r="Q89" s="8">
        <f>IF(Responses!AP89="","",IF(Responses!AP89="Selalu",4,IF(Responses!AP89="Sering",3,IF(Responses!AP89="Kadang - Kadang",2,IF(Responses!AP89="Jarang",1,0)))))</f>
        <v>0</v>
      </c>
      <c r="R89" s="8">
        <f>IF(Responses!AQ89="","",IF(Responses!AQ89="Selalu",4,IF(Responses!AQ89="Sering",3,IF(Responses!AQ89="Kadang - Kadang",2,IF(Responses!AQ89="Jarang",1,0)))))</f>
        <v>0</v>
      </c>
      <c r="S89" s="8">
        <f>IF(Responses!AR89="","",IF(Responses!AR89="Selalu",4,IF(Responses!AR89="Sering",3,IF(Responses!AR89="Kadang - Kadang",2,IF(Responses!AR89="Jarang",1,0)))))</f>
        <v>0</v>
      </c>
      <c r="T89" s="8">
        <f>IF(Responses!AS89="","",IF(Responses!AS89="Selalu",4,IF(Responses!AS89="Sering",3,IF(Responses!AS89="Kadang - Kadang",2,IF(Responses!AS89="Jarang",1,0)))))</f>
        <v>2</v>
      </c>
      <c r="U89" s="8">
        <f>IF(Responses!AT89="","",IF(Responses!AT89="Selalu",4,IF(Responses!AT89="Sering",3,IF(Responses!AT89="Kadang - Kadang",2,IF(Responses!AT89="Jarang",1,0)))))</f>
        <v>1</v>
      </c>
      <c r="V89" s="8">
        <f>IF(Responses!AU89="","",IF(Responses!AU89="Selalu",4,IF(Responses!AU89="Sering",3,IF(Responses!AU89="Kadang - Kadang",2,IF(Responses!AU89="Jarang",1,0)))))</f>
        <v>1</v>
      </c>
      <c r="W89" s="8">
        <f>IF(Responses!AV89="","",IF(Responses!AV89="Selalu",4,IF(Responses!AV89="Sering",3,IF(Responses!AV89="Kadang - Kadang",2,IF(Responses!AV89="Jarang",1,0)))))</f>
        <v>0</v>
      </c>
      <c r="X89" s="8">
        <f>IF(Responses!AW89="","",IF(Responses!AW89="Selalu",4,IF(Responses!AW89="Sering",3,IF(Responses!AW89="Kadang - Kadang",2,IF(Responses!AW89="Jarang",1,0)))))</f>
        <v>1</v>
      </c>
      <c r="Y89" s="20">
        <f t="shared" si="4"/>
        <v>16</v>
      </c>
      <c r="Z89" s="22" t="str">
        <f t="shared" si="5"/>
        <v>Tidak/Sedikit Kecanduan</v>
      </c>
    </row>
    <row r="90" spans="1:26" x14ac:dyDescent="0.3">
      <c r="A90" s="19" t="str">
        <f>Responses!A90</f>
        <v>BEdNdDN</v>
      </c>
      <c r="B90" s="19" t="str">
        <f>Responses!B90</f>
        <v>D4XQOVq</v>
      </c>
      <c r="C90" s="19">
        <f>Responses!C90</f>
        <v>46136.104467592602</v>
      </c>
      <c r="D90" s="19" t="str">
        <f>Responses!D90</f>
        <v xml:space="preserve">Jessica Sonang Patricia Simangunsong </v>
      </c>
      <c r="E90" s="19" t="str">
        <f>Responses!E90</f>
        <v>XI-3</v>
      </c>
      <c r="F90" s="19">
        <f>Responses!F90</f>
        <v>17</v>
      </c>
      <c r="G90" s="8">
        <f>IF(Responses!AF90="","",IF(Responses!AF90="Selalu",4,IF(Responses!AF90="Sering",3,IF(Responses!AF90="Kadang - Kadang",2,IF(Responses!AF90="Jarang",1,0)))))</f>
        <v>2</v>
      </c>
      <c r="H90" s="8">
        <f>IF(Responses!AG90="","",IF(Responses!AG90="Selalu",4,IF(Responses!AG90="Sering",3,IF(Responses!AG90="Kadang - Kadang",2,IF(Responses!AG90="Jarang",1,0)))))</f>
        <v>3</v>
      </c>
      <c r="I90" s="8">
        <f>IF(Responses!AH90="","",IF(Responses!AH90="Selalu",4,IF(Responses!AH90="Sering",3,IF(Responses!AH90="Kadang - Kadang",2,IF(Responses!AH90="Jarang",1,0)))))</f>
        <v>2</v>
      </c>
      <c r="J90" s="8">
        <f>IF(Responses!AI90="","",IF(Responses!AI90="Selalu",4,IF(Responses!AI90="Sering",3,IF(Responses!AI90="Kadang - Kadang",2,IF(Responses!AI90="Jarang",1,0)))))</f>
        <v>3</v>
      </c>
      <c r="K90" s="8">
        <f>IF(Responses!AJ90="","",IF(Responses!AJ90="Selalu",4,IF(Responses!AJ90="Sering",3,IF(Responses!AJ90="Kadang - Kadang",2,IF(Responses!AJ90="Jarang",1,0)))))</f>
        <v>3</v>
      </c>
      <c r="L90" s="8">
        <f>IF(Responses!AK90="","",IF(Responses!AK90="Selalu",4,IF(Responses!AK90="Sering",3,IF(Responses!AK90="Kadang - Kadang",2,IF(Responses!AK90="Jarang",1,0)))))</f>
        <v>1</v>
      </c>
      <c r="M90" s="8">
        <f>IF(Responses!AL90="","",IF(Responses!AL90="Selalu",4,IF(Responses!AL90="Sering",3,IF(Responses!AL90="Kadang - Kadang",2,IF(Responses!AL90="Jarang",1,0)))))</f>
        <v>2</v>
      </c>
      <c r="N90" s="8">
        <f>IF(Responses!AM90="","",IF(Responses!AM90="Selalu",4,IF(Responses!AM90="Sering",3,IF(Responses!AM90="Kadang - Kadang",2,IF(Responses!AM90="Jarang",1,0)))))</f>
        <v>1</v>
      </c>
      <c r="O90" s="8">
        <f>IF(Responses!AN90="","",IF(Responses!AN90="Selalu",4,IF(Responses!AN90="Sering",3,IF(Responses!AN90="Kadang - Kadang",2,IF(Responses!AN90="Jarang",1,0)))))</f>
        <v>2</v>
      </c>
      <c r="P90" s="8">
        <f>IF(Responses!AO90="","",IF(Responses!AO90="Selalu",4,IF(Responses!AO90="Sering",3,IF(Responses!AO90="Kadang - Kadang",2,IF(Responses!AO90="Jarang",1,0)))))</f>
        <v>1</v>
      </c>
      <c r="Q90" s="8">
        <f>IF(Responses!AP90="","",IF(Responses!AP90="Selalu",4,IF(Responses!AP90="Sering",3,IF(Responses!AP90="Kadang - Kadang",2,IF(Responses!AP90="Jarang",1,0)))))</f>
        <v>1</v>
      </c>
      <c r="R90" s="8">
        <f>IF(Responses!AQ90="","",IF(Responses!AQ90="Selalu",4,IF(Responses!AQ90="Sering",3,IF(Responses!AQ90="Kadang - Kadang",2,IF(Responses!AQ90="Jarang",1,0)))))</f>
        <v>3</v>
      </c>
      <c r="S90" s="8">
        <f>IF(Responses!AR90="","",IF(Responses!AR90="Selalu",4,IF(Responses!AR90="Sering",3,IF(Responses!AR90="Kadang - Kadang",2,IF(Responses!AR90="Jarang",1,0)))))</f>
        <v>3</v>
      </c>
      <c r="T90" s="8">
        <f>IF(Responses!AS90="","",IF(Responses!AS90="Selalu",4,IF(Responses!AS90="Sering",3,IF(Responses!AS90="Kadang - Kadang",2,IF(Responses!AS90="Jarang",1,0)))))</f>
        <v>2</v>
      </c>
      <c r="U90" s="8">
        <f>IF(Responses!AT90="","",IF(Responses!AT90="Selalu",4,IF(Responses!AT90="Sering",3,IF(Responses!AT90="Kadang - Kadang",2,IF(Responses!AT90="Jarang",1,0)))))</f>
        <v>1</v>
      </c>
      <c r="V90" s="8">
        <f>IF(Responses!AU90="","",IF(Responses!AU90="Selalu",4,IF(Responses!AU90="Sering",3,IF(Responses!AU90="Kadang - Kadang",2,IF(Responses!AU90="Jarang",1,0)))))</f>
        <v>1</v>
      </c>
      <c r="W90" s="8">
        <f>IF(Responses!AV90="","",IF(Responses!AV90="Selalu",4,IF(Responses!AV90="Sering",3,IF(Responses!AV90="Kadang - Kadang",2,IF(Responses!AV90="Jarang",1,0)))))</f>
        <v>3</v>
      </c>
      <c r="X90" s="8">
        <f>IF(Responses!AW90="","",IF(Responses!AW90="Selalu",4,IF(Responses!AW90="Sering",3,IF(Responses!AW90="Kadang - Kadang",2,IF(Responses!AW90="Jarang",1,0)))))</f>
        <v>2</v>
      </c>
      <c r="Y90" s="20">
        <f t="shared" si="4"/>
        <v>36</v>
      </c>
      <c r="Z90" s="22" t="str">
        <f t="shared" si="5"/>
        <v>Kecanduan Borderline</v>
      </c>
    </row>
    <row r="91" spans="1:26" ht="24" customHeight="1" x14ac:dyDescent="0.3">
      <c r="A91" s="19" t="str">
        <f>Responses!A91</f>
        <v>Yj08455</v>
      </c>
      <c r="B91" s="19" t="str">
        <f>Responses!B91</f>
        <v>xX0K8Ar</v>
      </c>
      <c r="C91" s="19">
        <f>Responses!C91</f>
        <v>46136.104814814818</v>
      </c>
      <c r="D91" s="19" t="str">
        <f>Responses!D91</f>
        <v>kinanthi A. P. Y</v>
      </c>
      <c r="E91" s="19" t="str">
        <f>Responses!E91</f>
        <v>XI-3</v>
      </c>
      <c r="F91" s="19">
        <f>Responses!F91</f>
        <v>16</v>
      </c>
      <c r="G91" s="8">
        <f>IF(Responses!AF91="","",IF(Responses!AF91="Selalu",4,IF(Responses!AF91="Sering",3,IF(Responses!AF91="Kadang - Kadang",2,IF(Responses!AF91="Jarang",1,0)))))</f>
        <v>2</v>
      </c>
      <c r="H91" s="8">
        <f>IF(Responses!AG91="","",IF(Responses!AG91="Selalu",4,IF(Responses!AG91="Sering",3,IF(Responses!AG91="Kadang - Kadang",2,IF(Responses!AG91="Jarang",1,0)))))</f>
        <v>1</v>
      </c>
      <c r="I91" s="8">
        <f>IF(Responses!AH91="","",IF(Responses!AH91="Selalu",4,IF(Responses!AH91="Sering",3,IF(Responses!AH91="Kadang - Kadang",2,IF(Responses!AH91="Jarang",1,0)))))</f>
        <v>2</v>
      </c>
      <c r="J91" s="8">
        <f>IF(Responses!AI91="","",IF(Responses!AI91="Selalu",4,IF(Responses!AI91="Sering",3,IF(Responses!AI91="Kadang - Kadang",2,IF(Responses!AI91="Jarang",1,0)))))</f>
        <v>0</v>
      </c>
      <c r="K91" s="8">
        <f>IF(Responses!AJ91="","",IF(Responses!AJ91="Selalu",4,IF(Responses!AJ91="Sering",3,IF(Responses!AJ91="Kadang - Kadang",2,IF(Responses!AJ91="Jarang",1,0)))))</f>
        <v>2</v>
      </c>
      <c r="L91" s="8">
        <f>IF(Responses!AK91="","",IF(Responses!AK91="Selalu",4,IF(Responses!AK91="Sering",3,IF(Responses!AK91="Kadang - Kadang",2,IF(Responses!AK91="Jarang",1,0)))))</f>
        <v>3</v>
      </c>
      <c r="M91" s="8">
        <f>IF(Responses!AL91="","",IF(Responses!AL91="Selalu",4,IF(Responses!AL91="Sering",3,IF(Responses!AL91="Kadang - Kadang",2,IF(Responses!AL91="Jarang",1,0)))))</f>
        <v>1</v>
      </c>
      <c r="N91" s="8">
        <f>IF(Responses!AM91="","",IF(Responses!AM91="Selalu",4,IF(Responses!AM91="Sering",3,IF(Responses!AM91="Kadang - Kadang",2,IF(Responses!AM91="Jarang",1,0)))))</f>
        <v>1</v>
      </c>
      <c r="O91" s="8">
        <f>IF(Responses!AN91="","",IF(Responses!AN91="Selalu",4,IF(Responses!AN91="Sering",3,IF(Responses!AN91="Kadang - Kadang",2,IF(Responses!AN91="Jarang",1,0)))))</f>
        <v>0</v>
      </c>
      <c r="P91" s="8">
        <f>IF(Responses!AO91="","",IF(Responses!AO91="Selalu",4,IF(Responses!AO91="Sering",3,IF(Responses!AO91="Kadang - Kadang",2,IF(Responses!AO91="Jarang",1,0)))))</f>
        <v>2</v>
      </c>
      <c r="Q91" s="8">
        <f>IF(Responses!AP91="","",IF(Responses!AP91="Selalu",4,IF(Responses!AP91="Sering",3,IF(Responses!AP91="Kadang - Kadang",2,IF(Responses!AP91="Jarang",1,0)))))</f>
        <v>1</v>
      </c>
      <c r="R91" s="8">
        <f>IF(Responses!AQ91="","",IF(Responses!AQ91="Selalu",4,IF(Responses!AQ91="Sering",3,IF(Responses!AQ91="Kadang - Kadang",2,IF(Responses!AQ91="Jarang",1,0)))))</f>
        <v>0</v>
      </c>
      <c r="S91" s="8">
        <f>IF(Responses!AR91="","",IF(Responses!AR91="Selalu",4,IF(Responses!AR91="Sering",3,IF(Responses!AR91="Kadang - Kadang",2,IF(Responses!AR91="Jarang",1,0)))))</f>
        <v>0</v>
      </c>
      <c r="T91" s="8">
        <f>IF(Responses!AS91="","",IF(Responses!AS91="Selalu",4,IF(Responses!AS91="Sering",3,IF(Responses!AS91="Kadang - Kadang",2,IF(Responses!AS91="Jarang",1,0)))))</f>
        <v>0</v>
      </c>
      <c r="U91" s="8">
        <f>IF(Responses!AT91="","",IF(Responses!AT91="Selalu",4,IF(Responses!AT91="Sering",3,IF(Responses!AT91="Kadang - Kadang",2,IF(Responses!AT91="Jarang",1,0)))))</f>
        <v>0</v>
      </c>
      <c r="V91" s="8">
        <f>IF(Responses!AU91="","",IF(Responses!AU91="Selalu",4,IF(Responses!AU91="Sering",3,IF(Responses!AU91="Kadang - Kadang",2,IF(Responses!AU91="Jarang",1,0)))))</f>
        <v>2</v>
      </c>
      <c r="W91" s="8">
        <f>IF(Responses!AV91="","",IF(Responses!AV91="Selalu",4,IF(Responses!AV91="Sering",3,IF(Responses!AV91="Kadang - Kadang",2,IF(Responses!AV91="Jarang",1,0)))))</f>
        <v>1</v>
      </c>
      <c r="X91" s="8">
        <f>IF(Responses!AW91="","",IF(Responses!AW91="Selalu",4,IF(Responses!AW91="Sering",3,IF(Responses!AW91="Kadang - Kadang",2,IF(Responses!AW91="Jarang",1,0)))))</f>
        <v>1</v>
      </c>
      <c r="Y91" s="20">
        <f t="shared" si="4"/>
        <v>19</v>
      </c>
      <c r="Z91" s="22" t="str">
        <f t="shared" si="5"/>
        <v>Tidak/Sedikit Kecanduan</v>
      </c>
    </row>
    <row r="92" spans="1:26" ht="24" customHeight="1" x14ac:dyDescent="0.3">
      <c r="A92" s="19" t="str">
        <f>Responses!A92</f>
        <v>WJExzNe</v>
      </c>
      <c r="B92" s="19" t="str">
        <f>Responses!B92</f>
        <v>KYPdrXK</v>
      </c>
      <c r="C92" s="19">
        <f>Responses!C92</f>
        <v>46136.114363425928</v>
      </c>
      <c r="D92" s="19" t="str">
        <f>Responses!D92</f>
        <v>Novia Rahma</v>
      </c>
      <c r="E92" s="19" t="str">
        <f>Responses!E92</f>
        <v>XI-2</v>
      </c>
      <c r="F92" s="19">
        <f>Responses!F92</f>
        <v>17</v>
      </c>
      <c r="G92" s="8">
        <f>IF(Responses!AF92="","",IF(Responses!AF92="Selalu",4,IF(Responses!AF92="Sering",3,IF(Responses!AF92="Kadang - Kadang",2,IF(Responses!AF92="Jarang",1,0)))))</f>
        <v>2</v>
      </c>
      <c r="H92" s="8">
        <f>IF(Responses!AG92="","",IF(Responses!AG92="Selalu",4,IF(Responses!AG92="Sering",3,IF(Responses!AG92="Kadang - Kadang",2,IF(Responses!AG92="Jarang",1,0)))))</f>
        <v>1</v>
      </c>
      <c r="I92" s="8">
        <f>IF(Responses!AH92="","",IF(Responses!AH92="Selalu",4,IF(Responses!AH92="Sering",3,IF(Responses!AH92="Kadang - Kadang",2,IF(Responses!AH92="Jarang",1,0)))))</f>
        <v>1</v>
      </c>
      <c r="J92" s="8">
        <f>IF(Responses!AI92="","",IF(Responses!AI92="Selalu",4,IF(Responses!AI92="Sering",3,IF(Responses!AI92="Kadang - Kadang",2,IF(Responses!AI92="Jarang",1,0)))))</f>
        <v>1</v>
      </c>
      <c r="K92" s="8">
        <f>IF(Responses!AJ92="","",IF(Responses!AJ92="Selalu",4,IF(Responses!AJ92="Sering",3,IF(Responses!AJ92="Kadang - Kadang",2,IF(Responses!AJ92="Jarang",1,0)))))</f>
        <v>0</v>
      </c>
      <c r="L92" s="8">
        <f>IF(Responses!AK92="","",IF(Responses!AK92="Selalu",4,IF(Responses!AK92="Sering",3,IF(Responses!AK92="Kadang - Kadang",2,IF(Responses!AK92="Jarang",1,0)))))</f>
        <v>0</v>
      </c>
      <c r="M92" s="8">
        <f>IF(Responses!AL92="","",IF(Responses!AL92="Selalu",4,IF(Responses!AL92="Sering",3,IF(Responses!AL92="Kadang - Kadang",2,IF(Responses!AL92="Jarang",1,0)))))</f>
        <v>2</v>
      </c>
      <c r="N92" s="8">
        <f>IF(Responses!AM92="","",IF(Responses!AM92="Selalu",4,IF(Responses!AM92="Sering",3,IF(Responses!AM92="Kadang - Kadang",2,IF(Responses!AM92="Jarang",1,0)))))</f>
        <v>2</v>
      </c>
      <c r="O92" s="8">
        <f>IF(Responses!AN92="","",IF(Responses!AN92="Selalu",4,IF(Responses!AN92="Sering",3,IF(Responses!AN92="Kadang - Kadang",2,IF(Responses!AN92="Jarang",1,0)))))</f>
        <v>2</v>
      </c>
      <c r="P92" s="8">
        <f>IF(Responses!AO92="","",IF(Responses!AO92="Selalu",4,IF(Responses!AO92="Sering",3,IF(Responses!AO92="Kadang - Kadang",2,IF(Responses!AO92="Jarang",1,0)))))</f>
        <v>2</v>
      </c>
      <c r="Q92" s="8">
        <f>IF(Responses!AP92="","",IF(Responses!AP92="Selalu",4,IF(Responses!AP92="Sering",3,IF(Responses!AP92="Kadang - Kadang",2,IF(Responses!AP92="Jarang",1,0)))))</f>
        <v>2</v>
      </c>
      <c r="R92" s="8">
        <f>IF(Responses!AQ92="","",IF(Responses!AQ92="Selalu",4,IF(Responses!AQ92="Sering",3,IF(Responses!AQ92="Kadang - Kadang",2,IF(Responses!AQ92="Jarang",1,0)))))</f>
        <v>2</v>
      </c>
      <c r="S92" s="8">
        <f>IF(Responses!AR92="","",IF(Responses!AR92="Selalu",4,IF(Responses!AR92="Sering",3,IF(Responses!AR92="Kadang - Kadang",2,IF(Responses!AR92="Jarang",1,0)))))</f>
        <v>1</v>
      </c>
      <c r="T92" s="8">
        <f>IF(Responses!AS92="","",IF(Responses!AS92="Selalu",4,IF(Responses!AS92="Sering",3,IF(Responses!AS92="Kadang - Kadang",2,IF(Responses!AS92="Jarang",1,0)))))</f>
        <v>2</v>
      </c>
      <c r="U92" s="8">
        <f>IF(Responses!AT92="","",IF(Responses!AT92="Selalu",4,IF(Responses!AT92="Sering",3,IF(Responses!AT92="Kadang - Kadang",2,IF(Responses!AT92="Jarang",1,0)))))</f>
        <v>3</v>
      </c>
      <c r="V92" s="8">
        <f>IF(Responses!AU92="","",IF(Responses!AU92="Selalu",4,IF(Responses!AU92="Sering",3,IF(Responses!AU92="Kadang - Kadang",2,IF(Responses!AU92="Jarang",1,0)))))</f>
        <v>1</v>
      </c>
      <c r="W92" s="8">
        <f>IF(Responses!AV92="","",IF(Responses!AV92="Selalu",4,IF(Responses!AV92="Sering",3,IF(Responses!AV92="Kadang - Kadang",2,IF(Responses!AV92="Jarang",1,0)))))</f>
        <v>2</v>
      </c>
      <c r="X92" s="8">
        <f>IF(Responses!AW92="","",IF(Responses!AW92="Selalu",4,IF(Responses!AW92="Sering",3,IF(Responses!AW92="Kadang - Kadang",2,IF(Responses!AW92="Jarang",1,0)))))</f>
        <v>1</v>
      </c>
      <c r="Y92" s="20">
        <f t="shared" si="4"/>
        <v>27</v>
      </c>
      <c r="Z92" s="22" t="str">
        <f t="shared" si="5"/>
        <v>Tidak/Sedikit Kecanduan</v>
      </c>
    </row>
    <row r="93" spans="1:26" ht="24" customHeight="1" x14ac:dyDescent="0.3">
      <c r="A93" s="19" t="str">
        <f>Responses!A93</f>
        <v>Eqdyypr</v>
      </c>
      <c r="B93" s="19" t="str">
        <f>Responses!B93</f>
        <v>zx0aL4q</v>
      </c>
      <c r="C93" s="19">
        <f>Responses!C93</f>
        <v>46136.121481481481</v>
      </c>
      <c r="D93" s="19" t="str">
        <f>Responses!D93</f>
        <v>Muhammad Faizan</v>
      </c>
      <c r="E93" s="19" t="str">
        <f>Responses!E93</f>
        <v>XI-1</v>
      </c>
      <c r="F93" s="19">
        <f>Responses!F93</f>
        <v>17</v>
      </c>
      <c r="G93" s="8">
        <f>IF(Responses!AF93="","",IF(Responses!AF93="Selalu",4,IF(Responses!AF93="Sering",3,IF(Responses!AF93="Kadang - Kadang",2,IF(Responses!AF93="Jarang",1,0)))))</f>
        <v>2</v>
      </c>
      <c r="H93" s="8">
        <f>IF(Responses!AG93="","",IF(Responses!AG93="Selalu",4,IF(Responses!AG93="Sering",3,IF(Responses!AG93="Kadang - Kadang",2,IF(Responses!AG93="Jarang",1,0)))))</f>
        <v>1</v>
      </c>
      <c r="I93" s="8">
        <f>IF(Responses!AH93="","",IF(Responses!AH93="Selalu",4,IF(Responses!AH93="Sering",3,IF(Responses!AH93="Kadang - Kadang",2,IF(Responses!AH93="Jarang",1,0)))))</f>
        <v>2</v>
      </c>
      <c r="J93" s="8">
        <f>IF(Responses!AI93="","",IF(Responses!AI93="Selalu",4,IF(Responses!AI93="Sering",3,IF(Responses!AI93="Kadang - Kadang",2,IF(Responses!AI93="Jarang",1,0)))))</f>
        <v>0</v>
      </c>
      <c r="K93" s="8">
        <f>IF(Responses!AJ93="","",IF(Responses!AJ93="Selalu",4,IF(Responses!AJ93="Sering",3,IF(Responses!AJ93="Kadang - Kadang",2,IF(Responses!AJ93="Jarang",1,0)))))</f>
        <v>0</v>
      </c>
      <c r="L93" s="8">
        <f>IF(Responses!AK93="","",IF(Responses!AK93="Selalu",4,IF(Responses!AK93="Sering",3,IF(Responses!AK93="Kadang - Kadang",2,IF(Responses!AK93="Jarang",1,0)))))</f>
        <v>0</v>
      </c>
      <c r="M93" s="8">
        <f>IF(Responses!AL93="","",IF(Responses!AL93="Selalu",4,IF(Responses!AL93="Sering",3,IF(Responses!AL93="Kadang - Kadang",2,IF(Responses!AL93="Jarang",1,0)))))</f>
        <v>2</v>
      </c>
      <c r="N93" s="8">
        <f>IF(Responses!AM93="","",IF(Responses!AM93="Selalu",4,IF(Responses!AM93="Sering",3,IF(Responses!AM93="Kadang - Kadang",2,IF(Responses!AM93="Jarang",1,0)))))</f>
        <v>4</v>
      </c>
      <c r="O93" s="8">
        <f>IF(Responses!AN93="","",IF(Responses!AN93="Selalu",4,IF(Responses!AN93="Sering",3,IF(Responses!AN93="Kadang - Kadang",2,IF(Responses!AN93="Jarang",1,0)))))</f>
        <v>0</v>
      </c>
      <c r="P93" s="8">
        <f>IF(Responses!AO93="","",IF(Responses!AO93="Selalu",4,IF(Responses!AO93="Sering",3,IF(Responses!AO93="Kadang - Kadang",2,IF(Responses!AO93="Jarang",1,0)))))</f>
        <v>4</v>
      </c>
      <c r="Q93" s="8">
        <f>IF(Responses!AP93="","",IF(Responses!AP93="Selalu",4,IF(Responses!AP93="Sering",3,IF(Responses!AP93="Kadang - Kadang",2,IF(Responses!AP93="Jarang",1,0)))))</f>
        <v>2</v>
      </c>
      <c r="R93" s="8">
        <f>IF(Responses!AQ93="","",IF(Responses!AQ93="Selalu",4,IF(Responses!AQ93="Sering",3,IF(Responses!AQ93="Kadang - Kadang",2,IF(Responses!AQ93="Jarang",1,0)))))</f>
        <v>1</v>
      </c>
      <c r="S93" s="8">
        <f>IF(Responses!AR93="","",IF(Responses!AR93="Selalu",4,IF(Responses!AR93="Sering",3,IF(Responses!AR93="Kadang - Kadang",2,IF(Responses!AR93="Jarang",1,0)))))</f>
        <v>3</v>
      </c>
      <c r="T93" s="8">
        <f>IF(Responses!AS93="","",IF(Responses!AS93="Selalu",4,IF(Responses!AS93="Sering",3,IF(Responses!AS93="Kadang - Kadang",2,IF(Responses!AS93="Jarang",1,0)))))</f>
        <v>2</v>
      </c>
      <c r="U93" s="8">
        <f>IF(Responses!AT93="","",IF(Responses!AT93="Selalu",4,IF(Responses!AT93="Sering",3,IF(Responses!AT93="Kadang - Kadang",2,IF(Responses!AT93="Jarang",1,0)))))</f>
        <v>1</v>
      </c>
      <c r="V93" s="8">
        <f>IF(Responses!AU93="","",IF(Responses!AU93="Selalu",4,IF(Responses!AU93="Sering",3,IF(Responses!AU93="Kadang - Kadang",2,IF(Responses!AU93="Jarang",1,0)))))</f>
        <v>1</v>
      </c>
      <c r="W93" s="8">
        <f>IF(Responses!AV93="","",IF(Responses!AV93="Selalu",4,IF(Responses!AV93="Sering",3,IF(Responses!AV93="Kadang - Kadang",2,IF(Responses!AV93="Jarang",1,0)))))</f>
        <v>1</v>
      </c>
      <c r="X93" s="8">
        <f>IF(Responses!AW93="","",IF(Responses!AW93="Selalu",4,IF(Responses!AW93="Sering",3,IF(Responses!AW93="Kadang - Kadang",2,IF(Responses!AW93="Jarang",1,0)))))</f>
        <v>3</v>
      </c>
      <c r="Y93" s="20">
        <f t="shared" si="4"/>
        <v>29</v>
      </c>
      <c r="Z93" s="22" t="str">
        <f t="shared" si="5"/>
        <v>Tidak/Sedikit Kecanduan</v>
      </c>
    </row>
    <row r="94" spans="1:26" ht="24" customHeight="1" x14ac:dyDescent="0.3">
      <c r="A94" s="19" t="str">
        <f>Responses!A94</f>
        <v>peyl7MB</v>
      </c>
      <c r="B94" s="19" t="str">
        <f>Responses!B94</f>
        <v>LZEQRQO</v>
      </c>
      <c r="C94" s="19">
        <f>Responses!C94</f>
        <v>46136.125451388893</v>
      </c>
      <c r="D94" s="19" t="str">
        <f>Responses!D94</f>
        <v>adhi nugroho</v>
      </c>
      <c r="E94" s="19" t="str">
        <f>Responses!E94</f>
        <v>XI-4</v>
      </c>
      <c r="F94" s="19">
        <f>Responses!F94</f>
        <v>17</v>
      </c>
      <c r="G94" s="8">
        <f>IF(Responses!AF94="","",IF(Responses!AF94="Selalu",4,IF(Responses!AF94="Sering",3,IF(Responses!AF94="Kadang - Kadang",2,IF(Responses!AF94="Jarang",1,0)))))</f>
        <v>0</v>
      </c>
      <c r="H94" s="8">
        <f>IF(Responses!AG94="","",IF(Responses!AG94="Selalu",4,IF(Responses!AG94="Sering",3,IF(Responses!AG94="Kadang - Kadang",2,IF(Responses!AG94="Jarang",1,0)))))</f>
        <v>0</v>
      </c>
      <c r="I94" s="8">
        <f>IF(Responses!AH94="","",IF(Responses!AH94="Selalu",4,IF(Responses!AH94="Sering",3,IF(Responses!AH94="Kadang - Kadang",2,IF(Responses!AH94="Jarang",1,0)))))</f>
        <v>0</v>
      </c>
      <c r="J94" s="8">
        <f>IF(Responses!AI94="","",IF(Responses!AI94="Selalu",4,IF(Responses!AI94="Sering",3,IF(Responses!AI94="Kadang - Kadang",2,IF(Responses!AI94="Jarang",1,0)))))</f>
        <v>0</v>
      </c>
      <c r="K94" s="8">
        <f>IF(Responses!AJ94="","",IF(Responses!AJ94="Selalu",4,IF(Responses!AJ94="Sering",3,IF(Responses!AJ94="Kadang - Kadang",2,IF(Responses!AJ94="Jarang",1,0)))))</f>
        <v>0</v>
      </c>
      <c r="L94" s="8">
        <f>IF(Responses!AK94="","",IF(Responses!AK94="Selalu",4,IF(Responses!AK94="Sering",3,IF(Responses!AK94="Kadang - Kadang",2,IF(Responses!AK94="Jarang",1,0)))))</f>
        <v>0</v>
      </c>
      <c r="M94" s="8">
        <f>IF(Responses!AL94="","",IF(Responses!AL94="Selalu",4,IF(Responses!AL94="Sering",3,IF(Responses!AL94="Kadang - Kadang",2,IF(Responses!AL94="Jarang",1,0)))))</f>
        <v>0</v>
      </c>
      <c r="N94" s="8">
        <f>IF(Responses!AM94="","",IF(Responses!AM94="Selalu",4,IF(Responses!AM94="Sering",3,IF(Responses!AM94="Kadang - Kadang",2,IF(Responses!AM94="Jarang",1,0)))))</f>
        <v>0</v>
      </c>
      <c r="O94" s="8">
        <f>IF(Responses!AN94="","",IF(Responses!AN94="Selalu",4,IF(Responses!AN94="Sering",3,IF(Responses!AN94="Kadang - Kadang",2,IF(Responses!AN94="Jarang",1,0)))))</f>
        <v>0</v>
      </c>
      <c r="P94" s="8">
        <f>IF(Responses!AO94="","",IF(Responses!AO94="Selalu",4,IF(Responses!AO94="Sering",3,IF(Responses!AO94="Kadang - Kadang",2,IF(Responses!AO94="Jarang",1,0)))))</f>
        <v>0</v>
      </c>
      <c r="Q94" s="8">
        <f>IF(Responses!AP94="","",IF(Responses!AP94="Selalu",4,IF(Responses!AP94="Sering",3,IF(Responses!AP94="Kadang - Kadang",2,IF(Responses!AP94="Jarang",1,0)))))</f>
        <v>0</v>
      </c>
      <c r="R94" s="8">
        <f>IF(Responses!AQ94="","",IF(Responses!AQ94="Selalu",4,IF(Responses!AQ94="Sering",3,IF(Responses!AQ94="Kadang - Kadang",2,IF(Responses!AQ94="Jarang",1,0)))))</f>
        <v>0</v>
      </c>
      <c r="S94" s="8">
        <f>IF(Responses!AR94="","",IF(Responses!AR94="Selalu",4,IF(Responses!AR94="Sering",3,IF(Responses!AR94="Kadang - Kadang",2,IF(Responses!AR94="Jarang",1,0)))))</f>
        <v>0</v>
      </c>
      <c r="T94" s="8">
        <f>IF(Responses!AS94="","",IF(Responses!AS94="Selalu",4,IF(Responses!AS94="Sering",3,IF(Responses!AS94="Kadang - Kadang",2,IF(Responses!AS94="Jarang",1,0)))))</f>
        <v>0</v>
      </c>
      <c r="U94" s="8">
        <f>IF(Responses!AT94="","",IF(Responses!AT94="Selalu",4,IF(Responses!AT94="Sering",3,IF(Responses!AT94="Kadang - Kadang",2,IF(Responses!AT94="Jarang",1,0)))))</f>
        <v>0</v>
      </c>
      <c r="V94" s="8">
        <f>IF(Responses!AU94="","",IF(Responses!AU94="Selalu",4,IF(Responses!AU94="Sering",3,IF(Responses!AU94="Kadang - Kadang",2,IF(Responses!AU94="Jarang",1,0)))))</f>
        <v>0</v>
      </c>
      <c r="W94" s="8">
        <f>IF(Responses!AV94="","",IF(Responses!AV94="Selalu",4,IF(Responses!AV94="Sering",3,IF(Responses!AV94="Kadang - Kadang",2,IF(Responses!AV94="Jarang",1,0)))))</f>
        <v>0</v>
      </c>
      <c r="X94" s="8">
        <f>IF(Responses!AW94="","",IF(Responses!AW94="Selalu",4,IF(Responses!AW94="Sering",3,IF(Responses!AW94="Kadang - Kadang",2,IF(Responses!AW94="Jarang",1,0)))))</f>
        <v>0</v>
      </c>
      <c r="Y94" s="20">
        <f t="shared" si="4"/>
        <v>0</v>
      </c>
      <c r="Z94" s="22" t="str">
        <f t="shared" si="5"/>
        <v>Tidak/Sedikit Kecanduan</v>
      </c>
    </row>
    <row r="95" spans="1:26" ht="24" customHeight="1" x14ac:dyDescent="0.3">
      <c r="A95" s="19" t="str">
        <f>Responses!A95</f>
        <v>kbeVRYR</v>
      </c>
      <c r="B95" s="19" t="str">
        <f>Responses!B95</f>
        <v>81J002o</v>
      </c>
      <c r="C95" s="19">
        <f>Responses!C95</f>
        <v>46136.125578703701</v>
      </c>
      <c r="D95" s="19" t="str">
        <f>Responses!D95</f>
        <v>BA'IQ SAFARINA DAMAYANTI</v>
      </c>
      <c r="E95" s="19" t="str">
        <f>Responses!E95</f>
        <v>XI-4</v>
      </c>
      <c r="F95" s="19">
        <f>Responses!F95</f>
        <v>17</v>
      </c>
      <c r="G95" s="8">
        <f>IF(Responses!AF95="","",IF(Responses!AF95="Selalu",4,IF(Responses!AF95="Sering",3,IF(Responses!AF95="Kadang - Kadang",2,IF(Responses!AF95="Jarang",1,0)))))</f>
        <v>2</v>
      </c>
      <c r="H95" s="8">
        <f>IF(Responses!AG95="","",IF(Responses!AG95="Selalu",4,IF(Responses!AG95="Sering",3,IF(Responses!AG95="Kadang - Kadang",2,IF(Responses!AG95="Jarang",1,0)))))</f>
        <v>1</v>
      </c>
      <c r="I95" s="8">
        <f>IF(Responses!AH95="","",IF(Responses!AH95="Selalu",4,IF(Responses!AH95="Sering",3,IF(Responses!AH95="Kadang - Kadang",2,IF(Responses!AH95="Jarang",1,0)))))</f>
        <v>1</v>
      </c>
      <c r="J95" s="8">
        <f>IF(Responses!AI95="","",IF(Responses!AI95="Selalu",4,IF(Responses!AI95="Sering",3,IF(Responses!AI95="Kadang - Kadang",2,IF(Responses!AI95="Jarang",1,0)))))</f>
        <v>0</v>
      </c>
      <c r="K95" s="8">
        <f>IF(Responses!AJ95="","",IF(Responses!AJ95="Selalu",4,IF(Responses!AJ95="Sering",3,IF(Responses!AJ95="Kadang - Kadang",2,IF(Responses!AJ95="Jarang",1,0)))))</f>
        <v>0</v>
      </c>
      <c r="L95" s="8">
        <f>IF(Responses!AK95="","",IF(Responses!AK95="Selalu",4,IF(Responses!AK95="Sering",3,IF(Responses!AK95="Kadang - Kadang",2,IF(Responses!AK95="Jarang",1,0)))))</f>
        <v>0</v>
      </c>
      <c r="M95" s="8">
        <f>IF(Responses!AL95="","",IF(Responses!AL95="Selalu",4,IF(Responses!AL95="Sering",3,IF(Responses!AL95="Kadang - Kadang",2,IF(Responses!AL95="Jarang",1,0)))))</f>
        <v>0</v>
      </c>
      <c r="N95" s="8">
        <f>IF(Responses!AM95="","",IF(Responses!AM95="Selalu",4,IF(Responses!AM95="Sering",3,IF(Responses!AM95="Kadang - Kadang",2,IF(Responses!AM95="Jarang",1,0)))))</f>
        <v>2</v>
      </c>
      <c r="O95" s="8">
        <f>IF(Responses!AN95="","",IF(Responses!AN95="Selalu",4,IF(Responses!AN95="Sering",3,IF(Responses!AN95="Kadang - Kadang",2,IF(Responses!AN95="Jarang",1,0)))))</f>
        <v>2</v>
      </c>
      <c r="P95" s="8">
        <f>IF(Responses!AO95="","",IF(Responses!AO95="Selalu",4,IF(Responses!AO95="Sering",3,IF(Responses!AO95="Kadang - Kadang",2,IF(Responses!AO95="Jarang",1,0)))))</f>
        <v>3</v>
      </c>
      <c r="Q95" s="8">
        <f>IF(Responses!AP95="","",IF(Responses!AP95="Selalu",4,IF(Responses!AP95="Sering",3,IF(Responses!AP95="Kadang - Kadang",2,IF(Responses!AP95="Jarang",1,0)))))</f>
        <v>2</v>
      </c>
      <c r="R95" s="8">
        <f>IF(Responses!AQ95="","",IF(Responses!AQ95="Selalu",4,IF(Responses!AQ95="Sering",3,IF(Responses!AQ95="Kadang - Kadang",2,IF(Responses!AQ95="Jarang",1,0)))))</f>
        <v>1</v>
      </c>
      <c r="S95" s="8">
        <f>IF(Responses!AR95="","",IF(Responses!AR95="Selalu",4,IF(Responses!AR95="Sering",3,IF(Responses!AR95="Kadang - Kadang",2,IF(Responses!AR95="Jarang",1,0)))))</f>
        <v>1</v>
      </c>
      <c r="T95" s="8">
        <f>IF(Responses!AS95="","",IF(Responses!AS95="Selalu",4,IF(Responses!AS95="Sering",3,IF(Responses!AS95="Kadang - Kadang",2,IF(Responses!AS95="Jarang",1,0)))))</f>
        <v>1</v>
      </c>
      <c r="U95" s="8">
        <f>IF(Responses!AT95="","",IF(Responses!AT95="Selalu",4,IF(Responses!AT95="Sering",3,IF(Responses!AT95="Kadang - Kadang",2,IF(Responses!AT95="Jarang",1,0)))))</f>
        <v>1</v>
      </c>
      <c r="V95" s="8">
        <f>IF(Responses!AU95="","",IF(Responses!AU95="Selalu",4,IF(Responses!AU95="Sering",3,IF(Responses!AU95="Kadang - Kadang",2,IF(Responses!AU95="Jarang",1,0)))))</f>
        <v>0</v>
      </c>
      <c r="W95" s="8">
        <f>IF(Responses!AV95="","",IF(Responses!AV95="Selalu",4,IF(Responses!AV95="Sering",3,IF(Responses!AV95="Kadang - Kadang",2,IF(Responses!AV95="Jarang",1,0)))))</f>
        <v>0</v>
      </c>
      <c r="X95" s="8">
        <f>IF(Responses!AW95="","",IF(Responses!AW95="Selalu",4,IF(Responses!AW95="Sering",3,IF(Responses!AW95="Kadang - Kadang",2,IF(Responses!AW95="Jarang",1,0)))))</f>
        <v>0</v>
      </c>
      <c r="Y95" s="20">
        <f t="shared" si="4"/>
        <v>17</v>
      </c>
      <c r="Z95" s="22" t="str">
        <f t="shared" si="5"/>
        <v>Tidak/Sedikit Kecanduan</v>
      </c>
    </row>
    <row r="96" spans="1:26" x14ac:dyDescent="0.3">
      <c r="A96" s="19" t="str">
        <f>Responses!A96</f>
        <v>laePlXN</v>
      </c>
      <c r="B96" s="19" t="str">
        <f>Responses!B96</f>
        <v>lb0PobW</v>
      </c>
      <c r="C96" s="19">
        <f>Responses!C96</f>
        <v>46136.125671296293</v>
      </c>
      <c r="D96" s="19" t="str">
        <f>Responses!D96</f>
        <v>Atikah Nuha</v>
      </c>
      <c r="E96" s="19" t="str">
        <f>Responses!E96</f>
        <v>XI-4</v>
      </c>
      <c r="F96" s="19">
        <f>Responses!F96</f>
        <v>17</v>
      </c>
      <c r="G96" s="8">
        <f>IF(Responses!AF96="","",IF(Responses!AF96="Selalu",4,IF(Responses!AF96="Sering",3,IF(Responses!AF96="Kadang - Kadang",2,IF(Responses!AF96="Jarang",1,0)))))</f>
        <v>3</v>
      </c>
      <c r="H96" s="8">
        <f>IF(Responses!AG96="","",IF(Responses!AG96="Selalu",4,IF(Responses!AG96="Sering",3,IF(Responses!AG96="Kadang - Kadang",2,IF(Responses!AG96="Jarang",1,0)))))</f>
        <v>0</v>
      </c>
      <c r="I96" s="8">
        <f>IF(Responses!AH96="","",IF(Responses!AH96="Selalu",4,IF(Responses!AH96="Sering",3,IF(Responses!AH96="Kadang - Kadang",2,IF(Responses!AH96="Jarang",1,0)))))</f>
        <v>3</v>
      </c>
      <c r="J96" s="8">
        <f>IF(Responses!AI96="","",IF(Responses!AI96="Selalu",4,IF(Responses!AI96="Sering",3,IF(Responses!AI96="Kadang - Kadang",2,IF(Responses!AI96="Jarang",1,0)))))</f>
        <v>2</v>
      </c>
      <c r="K96" s="8">
        <f>IF(Responses!AJ96="","",IF(Responses!AJ96="Selalu",4,IF(Responses!AJ96="Sering",3,IF(Responses!AJ96="Kadang - Kadang",2,IF(Responses!AJ96="Jarang",1,0)))))</f>
        <v>1</v>
      </c>
      <c r="L96" s="8">
        <f>IF(Responses!AK96="","",IF(Responses!AK96="Selalu",4,IF(Responses!AK96="Sering",3,IF(Responses!AK96="Kadang - Kadang",2,IF(Responses!AK96="Jarang",1,0)))))</f>
        <v>0</v>
      </c>
      <c r="M96" s="8">
        <f>IF(Responses!AL96="","",IF(Responses!AL96="Selalu",4,IF(Responses!AL96="Sering",3,IF(Responses!AL96="Kadang - Kadang",2,IF(Responses!AL96="Jarang",1,0)))))</f>
        <v>1</v>
      </c>
      <c r="N96" s="8">
        <f>IF(Responses!AM96="","",IF(Responses!AM96="Selalu",4,IF(Responses!AM96="Sering",3,IF(Responses!AM96="Kadang - Kadang",2,IF(Responses!AM96="Jarang",1,0)))))</f>
        <v>2</v>
      </c>
      <c r="O96" s="8">
        <f>IF(Responses!AN96="","",IF(Responses!AN96="Selalu",4,IF(Responses!AN96="Sering",3,IF(Responses!AN96="Kadang - Kadang",2,IF(Responses!AN96="Jarang",1,0)))))</f>
        <v>1</v>
      </c>
      <c r="P96" s="8">
        <f>IF(Responses!AO96="","",IF(Responses!AO96="Selalu",4,IF(Responses!AO96="Sering",3,IF(Responses!AO96="Kadang - Kadang",2,IF(Responses!AO96="Jarang",1,0)))))</f>
        <v>2</v>
      </c>
      <c r="Q96" s="8">
        <f>IF(Responses!AP96="","",IF(Responses!AP96="Selalu",4,IF(Responses!AP96="Sering",3,IF(Responses!AP96="Kadang - Kadang",2,IF(Responses!AP96="Jarang",1,0)))))</f>
        <v>4</v>
      </c>
      <c r="R96" s="8">
        <f>IF(Responses!AQ96="","",IF(Responses!AQ96="Selalu",4,IF(Responses!AQ96="Sering",3,IF(Responses!AQ96="Kadang - Kadang",2,IF(Responses!AQ96="Jarang",1,0)))))</f>
        <v>2</v>
      </c>
      <c r="S96" s="8">
        <f>IF(Responses!AR96="","",IF(Responses!AR96="Selalu",4,IF(Responses!AR96="Sering",3,IF(Responses!AR96="Kadang - Kadang",2,IF(Responses!AR96="Jarang",1,0)))))</f>
        <v>2</v>
      </c>
      <c r="T96" s="8">
        <f>IF(Responses!AS96="","",IF(Responses!AS96="Selalu",4,IF(Responses!AS96="Sering",3,IF(Responses!AS96="Kadang - Kadang",2,IF(Responses!AS96="Jarang",1,0)))))</f>
        <v>2</v>
      </c>
      <c r="U96" s="8">
        <f>IF(Responses!AT96="","",IF(Responses!AT96="Selalu",4,IF(Responses!AT96="Sering",3,IF(Responses!AT96="Kadang - Kadang",2,IF(Responses!AT96="Jarang",1,0)))))</f>
        <v>1</v>
      </c>
      <c r="V96" s="8">
        <f>IF(Responses!AU96="","",IF(Responses!AU96="Selalu",4,IF(Responses!AU96="Sering",3,IF(Responses!AU96="Kadang - Kadang",2,IF(Responses!AU96="Jarang",1,0)))))</f>
        <v>0</v>
      </c>
      <c r="W96" s="8">
        <f>IF(Responses!AV96="","",IF(Responses!AV96="Selalu",4,IF(Responses!AV96="Sering",3,IF(Responses!AV96="Kadang - Kadang",2,IF(Responses!AV96="Jarang",1,0)))))</f>
        <v>3</v>
      </c>
      <c r="X96" s="8">
        <f>IF(Responses!AW96="","",IF(Responses!AW96="Selalu",4,IF(Responses!AW96="Sering",3,IF(Responses!AW96="Kadang - Kadang",2,IF(Responses!AW96="Jarang",1,0)))))</f>
        <v>1</v>
      </c>
      <c r="Y96" s="20">
        <f t="shared" si="4"/>
        <v>30</v>
      </c>
      <c r="Z96" s="22" t="str">
        <f t="shared" si="5"/>
        <v>Kecanduan Borderline</v>
      </c>
    </row>
    <row r="97" spans="1:26" ht="24" customHeight="1" x14ac:dyDescent="0.3">
      <c r="A97" s="19" t="str">
        <f>Responses!A97</f>
        <v>Eqd4Bb4</v>
      </c>
      <c r="B97" s="19" t="str">
        <f>Responses!B97</f>
        <v>1Ab1ZgO</v>
      </c>
      <c r="C97" s="19">
        <f>Responses!C97</f>
        <v>46136.125821759262</v>
      </c>
      <c r="D97" s="19" t="str">
        <f>Responses!D97</f>
        <v>Aldo Damar Djati</v>
      </c>
      <c r="E97" s="19" t="str">
        <f>Responses!E97</f>
        <v>XI-4</v>
      </c>
      <c r="F97" s="19">
        <f>Responses!F97</f>
        <v>16</v>
      </c>
      <c r="G97" s="8">
        <f>IF(Responses!AF97="","",IF(Responses!AF97="Selalu",4,IF(Responses!AF97="Sering",3,IF(Responses!AF97="Kadang - Kadang",2,IF(Responses!AF97="Jarang",1,0)))))</f>
        <v>2</v>
      </c>
      <c r="H97" s="8">
        <f>IF(Responses!AG97="","",IF(Responses!AG97="Selalu",4,IF(Responses!AG97="Sering",3,IF(Responses!AG97="Kadang - Kadang",2,IF(Responses!AG97="Jarang",1,0)))))</f>
        <v>1</v>
      </c>
      <c r="I97" s="8">
        <f>IF(Responses!AH97="","",IF(Responses!AH97="Selalu",4,IF(Responses!AH97="Sering",3,IF(Responses!AH97="Kadang - Kadang",2,IF(Responses!AH97="Jarang",1,0)))))</f>
        <v>1</v>
      </c>
      <c r="J97" s="8">
        <f>IF(Responses!AI97="","",IF(Responses!AI97="Selalu",4,IF(Responses!AI97="Sering",3,IF(Responses!AI97="Kadang - Kadang",2,IF(Responses!AI97="Jarang",1,0)))))</f>
        <v>0</v>
      </c>
      <c r="K97" s="8">
        <f>IF(Responses!AJ97="","",IF(Responses!AJ97="Selalu",4,IF(Responses!AJ97="Sering",3,IF(Responses!AJ97="Kadang - Kadang",2,IF(Responses!AJ97="Jarang",1,0)))))</f>
        <v>1</v>
      </c>
      <c r="L97" s="8">
        <f>IF(Responses!AK97="","",IF(Responses!AK97="Selalu",4,IF(Responses!AK97="Sering",3,IF(Responses!AK97="Kadang - Kadang",2,IF(Responses!AK97="Jarang",1,0)))))</f>
        <v>1</v>
      </c>
      <c r="M97" s="8">
        <f>IF(Responses!AL97="","",IF(Responses!AL97="Selalu",4,IF(Responses!AL97="Sering",3,IF(Responses!AL97="Kadang - Kadang",2,IF(Responses!AL97="Jarang",1,0)))))</f>
        <v>1</v>
      </c>
      <c r="N97" s="8">
        <f>IF(Responses!AM97="","",IF(Responses!AM97="Selalu",4,IF(Responses!AM97="Sering",3,IF(Responses!AM97="Kadang - Kadang",2,IF(Responses!AM97="Jarang",1,0)))))</f>
        <v>3</v>
      </c>
      <c r="O97" s="8">
        <f>IF(Responses!AN97="","",IF(Responses!AN97="Selalu",4,IF(Responses!AN97="Sering",3,IF(Responses!AN97="Kadang - Kadang",2,IF(Responses!AN97="Jarang",1,0)))))</f>
        <v>2</v>
      </c>
      <c r="P97" s="8">
        <f>IF(Responses!AO97="","",IF(Responses!AO97="Selalu",4,IF(Responses!AO97="Sering",3,IF(Responses!AO97="Kadang - Kadang",2,IF(Responses!AO97="Jarang",1,0)))))</f>
        <v>2</v>
      </c>
      <c r="Q97" s="8">
        <f>IF(Responses!AP97="","",IF(Responses!AP97="Selalu",4,IF(Responses!AP97="Sering",3,IF(Responses!AP97="Kadang - Kadang",2,IF(Responses!AP97="Jarang",1,0)))))</f>
        <v>2</v>
      </c>
      <c r="R97" s="8">
        <f>IF(Responses!AQ97="","",IF(Responses!AQ97="Selalu",4,IF(Responses!AQ97="Sering",3,IF(Responses!AQ97="Kadang - Kadang",2,IF(Responses!AQ97="Jarang",1,0)))))</f>
        <v>3</v>
      </c>
      <c r="S97" s="8">
        <f>IF(Responses!AR97="","",IF(Responses!AR97="Selalu",4,IF(Responses!AR97="Sering",3,IF(Responses!AR97="Kadang - Kadang",2,IF(Responses!AR97="Jarang",1,0)))))</f>
        <v>1</v>
      </c>
      <c r="T97" s="8">
        <f>IF(Responses!AS97="","",IF(Responses!AS97="Selalu",4,IF(Responses!AS97="Sering",3,IF(Responses!AS97="Kadang - Kadang",2,IF(Responses!AS97="Jarang",1,0)))))</f>
        <v>3</v>
      </c>
      <c r="U97" s="8">
        <f>IF(Responses!AT97="","",IF(Responses!AT97="Selalu",4,IF(Responses!AT97="Sering",3,IF(Responses!AT97="Kadang - Kadang",2,IF(Responses!AT97="Jarang",1,0)))))</f>
        <v>1</v>
      </c>
      <c r="V97" s="8">
        <f>IF(Responses!AU97="","",IF(Responses!AU97="Selalu",4,IF(Responses!AU97="Sering",3,IF(Responses!AU97="Kadang - Kadang",2,IF(Responses!AU97="Jarang",1,0)))))</f>
        <v>2</v>
      </c>
      <c r="W97" s="8">
        <f>IF(Responses!AV97="","",IF(Responses!AV97="Selalu",4,IF(Responses!AV97="Sering",3,IF(Responses!AV97="Kadang - Kadang",2,IF(Responses!AV97="Jarang",1,0)))))</f>
        <v>1</v>
      </c>
      <c r="X97" s="8">
        <f>IF(Responses!AW97="","",IF(Responses!AW97="Selalu",4,IF(Responses!AW97="Sering",3,IF(Responses!AW97="Kadang - Kadang",2,IF(Responses!AW97="Jarang",1,0)))))</f>
        <v>2</v>
      </c>
      <c r="Y97" s="20">
        <f t="shared" si="4"/>
        <v>29</v>
      </c>
      <c r="Z97" s="22" t="str">
        <f t="shared" si="5"/>
        <v>Tidak/Sedikit Kecanduan</v>
      </c>
    </row>
    <row r="98" spans="1:26" ht="24" customHeight="1" x14ac:dyDescent="0.3">
      <c r="A98" s="19" t="str">
        <f>Responses!A98</f>
        <v>vXeQqZX</v>
      </c>
      <c r="B98" s="19" t="str">
        <f>Responses!B98</f>
        <v>ob0rbDx</v>
      </c>
      <c r="C98" s="19">
        <f>Responses!C98</f>
        <v>46136.126122685193</v>
      </c>
      <c r="D98" s="19" t="str">
        <f>Responses!D98</f>
        <v xml:space="preserve">Abdullah Azizi </v>
      </c>
      <c r="E98" s="19" t="str">
        <f>Responses!E98</f>
        <v>XI-4</v>
      </c>
      <c r="F98" s="19">
        <f>Responses!F98</f>
        <v>17</v>
      </c>
      <c r="G98" s="8">
        <f>IF(Responses!AF98="","",IF(Responses!AF98="Selalu",4,IF(Responses!AF98="Sering",3,IF(Responses!AF98="Kadang - Kadang",2,IF(Responses!AF98="Jarang",1,0)))))</f>
        <v>3</v>
      </c>
      <c r="H98" s="8">
        <f>IF(Responses!AG98="","",IF(Responses!AG98="Selalu",4,IF(Responses!AG98="Sering",3,IF(Responses!AG98="Kadang - Kadang",2,IF(Responses!AG98="Jarang",1,0)))))</f>
        <v>0</v>
      </c>
      <c r="I98" s="8">
        <f>IF(Responses!AH98="","",IF(Responses!AH98="Selalu",4,IF(Responses!AH98="Sering",3,IF(Responses!AH98="Kadang - Kadang",2,IF(Responses!AH98="Jarang",1,0)))))</f>
        <v>0</v>
      </c>
      <c r="J98" s="8">
        <f>IF(Responses!AI98="","",IF(Responses!AI98="Selalu",4,IF(Responses!AI98="Sering",3,IF(Responses!AI98="Kadang - Kadang",2,IF(Responses!AI98="Jarang",1,0)))))</f>
        <v>2</v>
      </c>
      <c r="K98" s="8">
        <f>IF(Responses!AJ98="","",IF(Responses!AJ98="Selalu",4,IF(Responses!AJ98="Sering",3,IF(Responses!AJ98="Kadang - Kadang",2,IF(Responses!AJ98="Jarang",1,0)))))</f>
        <v>4</v>
      </c>
      <c r="L98" s="8">
        <f>IF(Responses!AK98="","",IF(Responses!AK98="Selalu",4,IF(Responses!AK98="Sering",3,IF(Responses!AK98="Kadang - Kadang",2,IF(Responses!AK98="Jarang",1,0)))))</f>
        <v>1</v>
      </c>
      <c r="M98" s="8">
        <f>IF(Responses!AL98="","",IF(Responses!AL98="Selalu",4,IF(Responses!AL98="Sering",3,IF(Responses!AL98="Kadang - Kadang",2,IF(Responses!AL98="Jarang",1,0)))))</f>
        <v>0</v>
      </c>
      <c r="N98" s="8">
        <f>IF(Responses!AM98="","",IF(Responses!AM98="Selalu",4,IF(Responses!AM98="Sering",3,IF(Responses!AM98="Kadang - Kadang",2,IF(Responses!AM98="Jarang",1,0)))))</f>
        <v>3</v>
      </c>
      <c r="O98" s="8">
        <f>IF(Responses!AN98="","",IF(Responses!AN98="Selalu",4,IF(Responses!AN98="Sering",3,IF(Responses!AN98="Kadang - Kadang",2,IF(Responses!AN98="Jarang",1,0)))))</f>
        <v>0</v>
      </c>
      <c r="P98" s="8">
        <f>IF(Responses!AO98="","",IF(Responses!AO98="Selalu",4,IF(Responses!AO98="Sering",3,IF(Responses!AO98="Kadang - Kadang",2,IF(Responses!AO98="Jarang",1,0)))))</f>
        <v>1</v>
      </c>
      <c r="Q98" s="8">
        <f>IF(Responses!AP98="","",IF(Responses!AP98="Selalu",4,IF(Responses!AP98="Sering",3,IF(Responses!AP98="Kadang - Kadang",2,IF(Responses!AP98="Jarang",1,0)))))</f>
        <v>0</v>
      </c>
      <c r="R98" s="8">
        <f>IF(Responses!AQ98="","",IF(Responses!AQ98="Selalu",4,IF(Responses!AQ98="Sering",3,IF(Responses!AQ98="Kadang - Kadang",2,IF(Responses!AQ98="Jarang",1,0)))))</f>
        <v>1</v>
      </c>
      <c r="S98" s="8">
        <f>IF(Responses!AR98="","",IF(Responses!AR98="Selalu",4,IF(Responses!AR98="Sering",3,IF(Responses!AR98="Kadang - Kadang",2,IF(Responses!AR98="Jarang",1,0)))))</f>
        <v>1</v>
      </c>
      <c r="T98" s="8">
        <f>IF(Responses!AS98="","",IF(Responses!AS98="Selalu",4,IF(Responses!AS98="Sering",3,IF(Responses!AS98="Kadang - Kadang",2,IF(Responses!AS98="Jarang",1,0)))))</f>
        <v>1</v>
      </c>
      <c r="U98" s="8">
        <f>IF(Responses!AT98="","",IF(Responses!AT98="Selalu",4,IF(Responses!AT98="Sering",3,IF(Responses!AT98="Kadang - Kadang",2,IF(Responses!AT98="Jarang",1,0)))))</f>
        <v>1</v>
      </c>
      <c r="V98" s="8">
        <f>IF(Responses!AU98="","",IF(Responses!AU98="Selalu",4,IF(Responses!AU98="Sering",3,IF(Responses!AU98="Kadang - Kadang",2,IF(Responses!AU98="Jarang",1,0)))))</f>
        <v>1</v>
      </c>
      <c r="W98" s="8">
        <f>IF(Responses!AV98="","",IF(Responses!AV98="Selalu",4,IF(Responses!AV98="Sering",3,IF(Responses!AV98="Kadang - Kadang",2,IF(Responses!AV98="Jarang",1,0)))))</f>
        <v>2</v>
      </c>
      <c r="X98" s="8">
        <f>IF(Responses!AW98="","",IF(Responses!AW98="Selalu",4,IF(Responses!AW98="Sering",3,IF(Responses!AW98="Kadang - Kadang",2,IF(Responses!AW98="Jarang",1,0)))))</f>
        <v>0</v>
      </c>
      <c r="Y98" s="20">
        <f t="shared" ref="Y98:Y127" si="6">IF(A98="","",G98+H98+I98+J98+K98+L98+M98+N98+O98+P98+Q98+R98+S98+T98+U98+V98+W98+X98)</f>
        <v>21</v>
      </c>
      <c r="Z98" s="22" t="str">
        <f t="shared" ref="Z98:Z127" si="7">IF(A98="","",IF(Y98&lt;30,"Tidak/Sedikit Kecanduan",IF(Y98&lt;=39,"Kecanduan Borderline",IF(Y98&lt;=59,"Kemungkinan Kecanduan","Kecanduan Signifikan"))))</f>
        <v>Tidak/Sedikit Kecanduan</v>
      </c>
    </row>
    <row r="99" spans="1:26" ht="24" customHeight="1" x14ac:dyDescent="0.3">
      <c r="A99" s="19" t="str">
        <f>Responses!A99</f>
        <v>Kp5qvPz</v>
      </c>
      <c r="B99" s="19" t="str">
        <f>Responses!B99</f>
        <v>yP0KPRX</v>
      </c>
      <c r="C99" s="19">
        <f>Responses!C99</f>
        <v>46136.126250000001</v>
      </c>
      <c r="D99" s="19" t="str">
        <f>Responses!D99</f>
        <v xml:space="preserve">saena dwi febriani </v>
      </c>
      <c r="E99" s="19" t="str">
        <f>Responses!E99</f>
        <v>XI-4</v>
      </c>
      <c r="F99" s="19">
        <f>Responses!F99</f>
        <v>18</v>
      </c>
      <c r="G99" s="8">
        <f>IF(Responses!AF99="","",IF(Responses!AF99="Selalu",4,IF(Responses!AF99="Sering",3,IF(Responses!AF99="Kadang - Kadang",2,IF(Responses!AF99="Jarang",1,0)))))</f>
        <v>3</v>
      </c>
      <c r="H99" s="8">
        <f>IF(Responses!AG99="","",IF(Responses!AG99="Selalu",4,IF(Responses!AG99="Sering",3,IF(Responses!AG99="Kadang - Kadang",2,IF(Responses!AG99="Jarang",1,0)))))</f>
        <v>1</v>
      </c>
      <c r="I99" s="8">
        <f>IF(Responses!AH99="","",IF(Responses!AH99="Selalu",4,IF(Responses!AH99="Sering",3,IF(Responses!AH99="Kadang - Kadang",2,IF(Responses!AH99="Jarang",1,0)))))</f>
        <v>2</v>
      </c>
      <c r="J99" s="8">
        <f>IF(Responses!AI99="","",IF(Responses!AI99="Selalu",4,IF(Responses!AI99="Sering",3,IF(Responses!AI99="Kadang - Kadang",2,IF(Responses!AI99="Jarang",1,0)))))</f>
        <v>1</v>
      </c>
      <c r="K99" s="8">
        <f>IF(Responses!AJ99="","",IF(Responses!AJ99="Selalu",4,IF(Responses!AJ99="Sering",3,IF(Responses!AJ99="Kadang - Kadang",2,IF(Responses!AJ99="Jarang",1,0)))))</f>
        <v>2</v>
      </c>
      <c r="L99" s="8">
        <f>IF(Responses!AK99="","",IF(Responses!AK99="Selalu",4,IF(Responses!AK99="Sering",3,IF(Responses!AK99="Kadang - Kadang",2,IF(Responses!AK99="Jarang",1,0)))))</f>
        <v>0</v>
      </c>
      <c r="M99" s="8">
        <f>IF(Responses!AL99="","",IF(Responses!AL99="Selalu",4,IF(Responses!AL99="Sering",3,IF(Responses!AL99="Kadang - Kadang",2,IF(Responses!AL99="Jarang",1,0)))))</f>
        <v>1</v>
      </c>
      <c r="N99" s="8">
        <f>IF(Responses!AM99="","",IF(Responses!AM99="Selalu",4,IF(Responses!AM99="Sering",3,IF(Responses!AM99="Kadang - Kadang",2,IF(Responses!AM99="Jarang",1,0)))))</f>
        <v>2</v>
      </c>
      <c r="O99" s="8">
        <f>IF(Responses!AN99="","",IF(Responses!AN99="Selalu",4,IF(Responses!AN99="Sering",3,IF(Responses!AN99="Kadang - Kadang",2,IF(Responses!AN99="Jarang",1,0)))))</f>
        <v>1</v>
      </c>
      <c r="P99" s="8">
        <f>IF(Responses!AO99="","",IF(Responses!AO99="Selalu",4,IF(Responses!AO99="Sering",3,IF(Responses!AO99="Kadang - Kadang",2,IF(Responses!AO99="Jarang",1,0)))))</f>
        <v>2</v>
      </c>
      <c r="Q99" s="8">
        <f>IF(Responses!AP99="","",IF(Responses!AP99="Selalu",4,IF(Responses!AP99="Sering",3,IF(Responses!AP99="Kadang - Kadang",2,IF(Responses!AP99="Jarang",1,0)))))</f>
        <v>0</v>
      </c>
      <c r="R99" s="8">
        <f>IF(Responses!AQ99="","",IF(Responses!AQ99="Selalu",4,IF(Responses!AQ99="Sering",3,IF(Responses!AQ99="Kadang - Kadang",2,IF(Responses!AQ99="Jarang",1,0)))))</f>
        <v>0</v>
      </c>
      <c r="S99" s="8">
        <f>IF(Responses!AR99="","",IF(Responses!AR99="Selalu",4,IF(Responses!AR99="Sering",3,IF(Responses!AR99="Kadang - Kadang",2,IF(Responses!AR99="Jarang",1,0)))))</f>
        <v>0</v>
      </c>
      <c r="T99" s="8">
        <f>IF(Responses!AS99="","",IF(Responses!AS99="Selalu",4,IF(Responses!AS99="Sering",3,IF(Responses!AS99="Kadang - Kadang",2,IF(Responses!AS99="Jarang",1,0)))))</f>
        <v>2</v>
      </c>
      <c r="U99" s="8">
        <f>IF(Responses!AT99="","",IF(Responses!AT99="Selalu",4,IF(Responses!AT99="Sering",3,IF(Responses!AT99="Kadang - Kadang",2,IF(Responses!AT99="Jarang",1,0)))))</f>
        <v>2</v>
      </c>
      <c r="V99" s="8">
        <f>IF(Responses!AU99="","",IF(Responses!AU99="Selalu",4,IF(Responses!AU99="Sering",3,IF(Responses!AU99="Kadang - Kadang",2,IF(Responses!AU99="Jarang",1,0)))))</f>
        <v>2</v>
      </c>
      <c r="W99" s="8">
        <f>IF(Responses!AV99="","",IF(Responses!AV99="Selalu",4,IF(Responses!AV99="Sering",3,IF(Responses!AV99="Kadang - Kadang",2,IF(Responses!AV99="Jarang",1,0)))))</f>
        <v>1</v>
      </c>
      <c r="X99" s="8">
        <f>IF(Responses!AW99="","",IF(Responses!AW99="Selalu",4,IF(Responses!AW99="Sering",3,IF(Responses!AW99="Kadang - Kadang",2,IF(Responses!AW99="Jarang",1,0)))))</f>
        <v>1</v>
      </c>
      <c r="Y99" s="20">
        <f t="shared" si="6"/>
        <v>23</v>
      </c>
      <c r="Z99" s="22" t="str">
        <f t="shared" si="7"/>
        <v>Tidak/Sedikit Kecanduan</v>
      </c>
    </row>
    <row r="100" spans="1:26" ht="24" customHeight="1" x14ac:dyDescent="0.3">
      <c r="A100" s="19" t="str">
        <f>Responses!A100</f>
        <v>peylJpJ</v>
      </c>
      <c r="B100" s="19" t="str">
        <f>Responses!B100</f>
        <v>ja0dZDR</v>
      </c>
      <c r="C100" s="19">
        <f>Responses!C100</f>
        <v>46136.126539351862</v>
      </c>
      <c r="D100" s="19" t="str">
        <f>Responses!D100</f>
        <v xml:space="preserve">Davian Alvin Mardika </v>
      </c>
      <c r="E100" s="19" t="str">
        <f>Responses!E100</f>
        <v>XI-4</v>
      </c>
      <c r="F100" s="19">
        <f>Responses!F100</f>
        <v>17</v>
      </c>
      <c r="G100" s="8">
        <f>IF(Responses!AF100="","",IF(Responses!AF100="Selalu",4,IF(Responses!AF100="Sering",3,IF(Responses!AF100="Kadang - Kadang",2,IF(Responses!AF100="Jarang",1,0)))))</f>
        <v>2</v>
      </c>
      <c r="H100" s="8">
        <f>IF(Responses!AG100="","",IF(Responses!AG100="Selalu",4,IF(Responses!AG100="Sering",3,IF(Responses!AG100="Kadang - Kadang",2,IF(Responses!AG100="Jarang",1,0)))))</f>
        <v>0</v>
      </c>
      <c r="I100" s="8">
        <f>IF(Responses!AH100="","",IF(Responses!AH100="Selalu",4,IF(Responses!AH100="Sering",3,IF(Responses!AH100="Kadang - Kadang",2,IF(Responses!AH100="Jarang",1,0)))))</f>
        <v>0</v>
      </c>
      <c r="J100" s="8">
        <f>IF(Responses!AI100="","",IF(Responses!AI100="Selalu",4,IF(Responses!AI100="Sering",3,IF(Responses!AI100="Kadang - Kadang",2,IF(Responses!AI100="Jarang",1,0)))))</f>
        <v>0</v>
      </c>
      <c r="K100" s="8">
        <f>IF(Responses!AJ100="","",IF(Responses!AJ100="Selalu",4,IF(Responses!AJ100="Sering",3,IF(Responses!AJ100="Kadang - Kadang",2,IF(Responses!AJ100="Jarang",1,0)))))</f>
        <v>0</v>
      </c>
      <c r="L100" s="8">
        <f>IF(Responses!AK100="","",IF(Responses!AK100="Selalu",4,IF(Responses!AK100="Sering",3,IF(Responses!AK100="Kadang - Kadang",2,IF(Responses!AK100="Jarang",1,0)))))</f>
        <v>0</v>
      </c>
      <c r="M100" s="8">
        <f>IF(Responses!AL100="","",IF(Responses!AL100="Selalu",4,IF(Responses!AL100="Sering",3,IF(Responses!AL100="Kadang - Kadang",2,IF(Responses!AL100="Jarang",1,0)))))</f>
        <v>0</v>
      </c>
      <c r="N100" s="8">
        <f>IF(Responses!AM100="","",IF(Responses!AM100="Selalu",4,IF(Responses!AM100="Sering",3,IF(Responses!AM100="Kadang - Kadang",2,IF(Responses!AM100="Jarang",1,0)))))</f>
        <v>0</v>
      </c>
      <c r="O100" s="8">
        <f>IF(Responses!AN100="","",IF(Responses!AN100="Selalu",4,IF(Responses!AN100="Sering",3,IF(Responses!AN100="Kadang - Kadang",2,IF(Responses!AN100="Jarang",1,0)))))</f>
        <v>0</v>
      </c>
      <c r="P100" s="8">
        <f>IF(Responses!AO100="","",IF(Responses!AO100="Selalu",4,IF(Responses!AO100="Sering",3,IF(Responses!AO100="Kadang - Kadang",2,IF(Responses!AO100="Jarang",1,0)))))</f>
        <v>0</v>
      </c>
      <c r="Q100" s="8">
        <f>IF(Responses!AP100="","",IF(Responses!AP100="Selalu",4,IF(Responses!AP100="Sering",3,IF(Responses!AP100="Kadang - Kadang",2,IF(Responses!AP100="Jarang",1,0)))))</f>
        <v>0</v>
      </c>
      <c r="R100" s="8">
        <f>IF(Responses!AQ100="","",IF(Responses!AQ100="Selalu",4,IF(Responses!AQ100="Sering",3,IF(Responses!AQ100="Kadang - Kadang",2,IF(Responses!AQ100="Jarang",1,0)))))</f>
        <v>0</v>
      </c>
      <c r="S100" s="8">
        <f>IF(Responses!AR100="","",IF(Responses!AR100="Selalu",4,IF(Responses!AR100="Sering",3,IF(Responses!AR100="Kadang - Kadang",2,IF(Responses!AR100="Jarang",1,0)))))</f>
        <v>0</v>
      </c>
      <c r="T100" s="8">
        <f>IF(Responses!AS100="","",IF(Responses!AS100="Selalu",4,IF(Responses!AS100="Sering",3,IF(Responses!AS100="Kadang - Kadang",2,IF(Responses!AS100="Jarang",1,0)))))</f>
        <v>0</v>
      </c>
      <c r="U100" s="8">
        <f>IF(Responses!AT100="","",IF(Responses!AT100="Selalu",4,IF(Responses!AT100="Sering",3,IF(Responses!AT100="Kadang - Kadang",2,IF(Responses!AT100="Jarang",1,0)))))</f>
        <v>0</v>
      </c>
      <c r="V100" s="8">
        <f>IF(Responses!AU100="","",IF(Responses!AU100="Selalu",4,IF(Responses!AU100="Sering",3,IF(Responses!AU100="Kadang - Kadang",2,IF(Responses!AU100="Jarang",1,0)))))</f>
        <v>0</v>
      </c>
      <c r="W100" s="8">
        <f>IF(Responses!AV100="","",IF(Responses!AV100="Selalu",4,IF(Responses!AV100="Sering",3,IF(Responses!AV100="Kadang - Kadang",2,IF(Responses!AV100="Jarang",1,0)))))</f>
        <v>0</v>
      </c>
      <c r="X100" s="8">
        <f>IF(Responses!AW100="","",IF(Responses!AW100="Selalu",4,IF(Responses!AW100="Sering",3,IF(Responses!AW100="Kadang - Kadang",2,IF(Responses!AW100="Jarang",1,0)))))</f>
        <v>0</v>
      </c>
      <c r="Y100" s="20">
        <f t="shared" si="6"/>
        <v>2</v>
      </c>
      <c r="Z100" s="22" t="str">
        <f t="shared" si="7"/>
        <v>Tidak/Sedikit Kecanduan</v>
      </c>
    </row>
    <row r="101" spans="1:26" ht="24" customHeight="1" x14ac:dyDescent="0.3">
      <c r="A101" s="19" t="str">
        <f>Responses!A101</f>
        <v>4aJgzXk</v>
      </c>
      <c r="B101" s="19" t="str">
        <f>Responses!B101</f>
        <v>KYP7e1M</v>
      </c>
      <c r="C101" s="19">
        <f>Responses!C101</f>
        <v>46136.126793981479</v>
      </c>
      <c r="D101" s="19" t="str">
        <f>Responses!D101</f>
        <v xml:space="preserve">Maresta Rakha Rashendra </v>
      </c>
      <c r="E101" s="19" t="str">
        <f>Responses!E101</f>
        <v>XI-4</v>
      </c>
      <c r="F101" s="19">
        <f>Responses!F101</f>
        <v>17</v>
      </c>
      <c r="G101" s="8">
        <f>IF(Responses!AF101="","",IF(Responses!AF101="Selalu",4,IF(Responses!AF101="Sering",3,IF(Responses!AF101="Kadang - Kadang",2,IF(Responses!AF101="Jarang",1,0)))))</f>
        <v>1</v>
      </c>
      <c r="H101" s="8">
        <f>IF(Responses!AG101="","",IF(Responses!AG101="Selalu",4,IF(Responses!AG101="Sering",3,IF(Responses!AG101="Kadang - Kadang",2,IF(Responses!AG101="Jarang",1,0)))))</f>
        <v>1</v>
      </c>
      <c r="I101" s="8">
        <f>IF(Responses!AH101="","",IF(Responses!AH101="Selalu",4,IF(Responses!AH101="Sering",3,IF(Responses!AH101="Kadang - Kadang",2,IF(Responses!AH101="Jarang",1,0)))))</f>
        <v>1</v>
      </c>
      <c r="J101" s="8">
        <f>IF(Responses!AI101="","",IF(Responses!AI101="Selalu",4,IF(Responses!AI101="Sering",3,IF(Responses!AI101="Kadang - Kadang",2,IF(Responses!AI101="Jarang",1,0)))))</f>
        <v>0</v>
      </c>
      <c r="K101" s="8">
        <f>IF(Responses!AJ101="","",IF(Responses!AJ101="Selalu",4,IF(Responses!AJ101="Sering",3,IF(Responses!AJ101="Kadang - Kadang",2,IF(Responses!AJ101="Jarang",1,0)))))</f>
        <v>0</v>
      </c>
      <c r="L101" s="8">
        <f>IF(Responses!AK101="","",IF(Responses!AK101="Selalu",4,IF(Responses!AK101="Sering",3,IF(Responses!AK101="Kadang - Kadang",2,IF(Responses!AK101="Jarang",1,0)))))</f>
        <v>0</v>
      </c>
      <c r="M101" s="8">
        <f>IF(Responses!AL101="","",IF(Responses!AL101="Selalu",4,IF(Responses!AL101="Sering",3,IF(Responses!AL101="Kadang - Kadang",2,IF(Responses!AL101="Jarang",1,0)))))</f>
        <v>0</v>
      </c>
      <c r="N101" s="8">
        <f>IF(Responses!AM101="","",IF(Responses!AM101="Selalu",4,IF(Responses!AM101="Sering",3,IF(Responses!AM101="Kadang - Kadang",2,IF(Responses!AM101="Jarang",1,0)))))</f>
        <v>0</v>
      </c>
      <c r="O101" s="8">
        <f>IF(Responses!AN101="","",IF(Responses!AN101="Selalu",4,IF(Responses!AN101="Sering",3,IF(Responses!AN101="Kadang - Kadang",2,IF(Responses!AN101="Jarang",1,0)))))</f>
        <v>0</v>
      </c>
      <c r="P101" s="8">
        <f>IF(Responses!AO101="","",IF(Responses!AO101="Selalu",4,IF(Responses!AO101="Sering",3,IF(Responses!AO101="Kadang - Kadang",2,IF(Responses!AO101="Jarang",1,0)))))</f>
        <v>0</v>
      </c>
      <c r="Q101" s="8">
        <f>IF(Responses!AP101="","",IF(Responses!AP101="Selalu",4,IF(Responses!AP101="Sering",3,IF(Responses!AP101="Kadang - Kadang",2,IF(Responses!AP101="Jarang",1,0)))))</f>
        <v>0</v>
      </c>
      <c r="R101" s="8">
        <f>IF(Responses!AQ101="","",IF(Responses!AQ101="Selalu",4,IF(Responses!AQ101="Sering",3,IF(Responses!AQ101="Kadang - Kadang",2,IF(Responses!AQ101="Jarang",1,0)))))</f>
        <v>0</v>
      </c>
      <c r="S101" s="8">
        <f>IF(Responses!AR101="","",IF(Responses!AR101="Selalu",4,IF(Responses!AR101="Sering",3,IF(Responses!AR101="Kadang - Kadang",2,IF(Responses!AR101="Jarang",1,0)))))</f>
        <v>0</v>
      </c>
      <c r="T101" s="8">
        <f>IF(Responses!AS101="","",IF(Responses!AS101="Selalu",4,IF(Responses!AS101="Sering",3,IF(Responses!AS101="Kadang - Kadang",2,IF(Responses!AS101="Jarang",1,0)))))</f>
        <v>0</v>
      </c>
      <c r="U101" s="8">
        <f>IF(Responses!AT101="","",IF(Responses!AT101="Selalu",4,IF(Responses!AT101="Sering",3,IF(Responses!AT101="Kadang - Kadang",2,IF(Responses!AT101="Jarang",1,0)))))</f>
        <v>0</v>
      </c>
      <c r="V101" s="8">
        <f>IF(Responses!AU101="","",IF(Responses!AU101="Selalu",4,IF(Responses!AU101="Sering",3,IF(Responses!AU101="Kadang - Kadang",2,IF(Responses!AU101="Jarang",1,0)))))</f>
        <v>0</v>
      </c>
      <c r="W101" s="8">
        <f>IF(Responses!AV101="","",IF(Responses!AV101="Selalu",4,IF(Responses!AV101="Sering",3,IF(Responses!AV101="Kadang - Kadang",2,IF(Responses!AV101="Jarang",1,0)))))</f>
        <v>0</v>
      </c>
      <c r="X101" s="8">
        <f>IF(Responses!AW101="","",IF(Responses!AW101="Selalu",4,IF(Responses!AW101="Sering",3,IF(Responses!AW101="Kadang - Kadang",2,IF(Responses!AW101="Jarang",1,0)))))</f>
        <v>0</v>
      </c>
      <c r="Y101" s="20">
        <f t="shared" si="6"/>
        <v>3</v>
      </c>
      <c r="Z101" s="22" t="str">
        <f t="shared" si="7"/>
        <v>Tidak/Sedikit Kecanduan</v>
      </c>
    </row>
    <row r="102" spans="1:26" ht="24" customHeight="1" x14ac:dyDescent="0.3">
      <c r="A102" s="19" t="str">
        <f>Responses!A102</f>
        <v>9N9zMZ1</v>
      </c>
      <c r="B102" s="19" t="str">
        <f>Responses!B102</f>
        <v>ja0dbxY</v>
      </c>
      <c r="C102" s="19">
        <f>Responses!C102</f>
        <v>46136.126828703702</v>
      </c>
      <c r="D102" s="19" t="str">
        <f>Responses!D102</f>
        <v xml:space="preserve">Malka Geraldo Ravantino Ananto </v>
      </c>
      <c r="E102" s="19" t="str">
        <f>Responses!E102</f>
        <v>XI-4</v>
      </c>
      <c r="F102" s="19">
        <f>Responses!F102</f>
        <v>17</v>
      </c>
      <c r="G102" s="8">
        <f>IF(Responses!AF102="","",IF(Responses!AF102="Selalu",4,IF(Responses!AF102="Sering",3,IF(Responses!AF102="Kadang - Kadang",2,IF(Responses!AF102="Jarang",1,0)))))</f>
        <v>0</v>
      </c>
      <c r="H102" s="8">
        <f>IF(Responses!AG102="","",IF(Responses!AG102="Selalu",4,IF(Responses!AG102="Sering",3,IF(Responses!AG102="Kadang - Kadang",2,IF(Responses!AG102="Jarang",1,0)))))</f>
        <v>0</v>
      </c>
      <c r="I102" s="8">
        <f>IF(Responses!AH102="","",IF(Responses!AH102="Selalu",4,IF(Responses!AH102="Sering",3,IF(Responses!AH102="Kadang - Kadang",2,IF(Responses!AH102="Jarang",1,0)))))</f>
        <v>0</v>
      </c>
      <c r="J102" s="8">
        <f>IF(Responses!AI102="","",IF(Responses!AI102="Selalu",4,IF(Responses!AI102="Sering",3,IF(Responses!AI102="Kadang - Kadang",2,IF(Responses!AI102="Jarang",1,0)))))</f>
        <v>0</v>
      </c>
      <c r="K102" s="8">
        <f>IF(Responses!AJ102="","",IF(Responses!AJ102="Selalu",4,IF(Responses!AJ102="Sering",3,IF(Responses!AJ102="Kadang - Kadang",2,IF(Responses!AJ102="Jarang",1,0)))))</f>
        <v>3</v>
      </c>
      <c r="L102" s="8">
        <f>IF(Responses!AK102="","",IF(Responses!AK102="Selalu",4,IF(Responses!AK102="Sering",3,IF(Responses!AK102="Kadang - Kadang",2,IF(Responses!AK102="Jarang",1,0)))))</f>
        <v>0</v>
      </c>
      <c r="M102" s="8">
        <f>IF(Responses!AL102="","",IF(Responses!AL102="Selalu",4,IF(Responses!AL102="Sering",3,IF(Responses!AL102="Kadang - Kadang",2,IF(Responses!AL102="Jarang",1,0)))))</f>
        <v>0</v>
      </c>
      <c r="N102" s="8">
        <f>IF(Responses!AM102="","",IF(Responses!AM102="Selalu",4,IF(Responses!AM102="Sering",3,IF(Responses!AM102="Kadang - Kadang",2,IF(Responses!AM102="Jarang",1,0)))))</f>
        <v>0</v>
      </c>
      <c r="O102" s="8">
        <f>IF(Responses!AN102="","",IF(Responses!AN102="Selalu",4,IF(Responses!AN102="Sering",3,IF(Responses!AN102="Kadang - Kadang",2,IF(Responses!AN102="Jarang",1,0)))))</f>
        <v>0</v>
      </c>
      <c r="P102" s="8">
        <f>IF(Responses!AO102="","",IF(Responses!AO102="Selalu",4,IF(Responses!AO102="Sering",3,IF(Responses!AO102="Kadang - Kadang",2,IF(Responses!AO102="Jarang",1,0)))))</f>
        <v>0</v>
      </c>
      <c r="Q102" s="8">
        <f>IF(Responses!AP102="","",IF(Responses!AP102="Selalu",4,IF(Responses!AP102="Sering",3,IF(Responses!AP102="Kadang - Kadang",2,IF(Responses!AP102="Jarang",1,0)))))</f>
        <v>0</v>
      </c>
      <c r="R102" s="8">
        <f>IF(Responses!AQ102="","",IF(Responses!AQ102="Selalu",4,IF(Responses!AQ102="Sering",3,IF(Responses!AQ102="Kadang - Kadang",2,IF(Responses!AQ102="Jarang",1,0)))))</f>
        <v>0</v>
      </c>
      <c r="S102" s="8">
        <f>IF(Responses!AR102="","",IF(Responses!AR102="Selalu",4,IF(Responses!AR102="Sering",3,IF(Responses!AR102="Kadang - Kadang",2,IF(Responses!AR102="Jarang",1,0)))))</f>
        <v>0</v>
      </c>
      <c r="T102" s="8">
        <f>IF(Responses!AS102="","",IF(Responses!AS102="Selalu",4,IF(Responses!AS102="Sering",3,IF(Responses!AS102="Kadang - Kadang",2,IF(Responses!AS102="Jarang",1,0)))))</f>
        <v>0</v>
      </c>
      <c r="U102" s="8">
        <f>IF(Responses!AT102="","",IF(Responses!AT102="Selalu",4,IF(Responses!AT102="Sering",3,IF(Responses!AT102="Kadang - Kadang",2,IF(Responses!AT102="Jarang",1,0)))))</f>
        <v>0</v>
      </c>
      <c r="V102" s="8">
        <f>IF(Responses!AU102="","",IF(Responses!AU102="Selalu",4,IF(Responses!AU102="Sering",3,IF(Responses!AU102="Kadang - Kadang",2,IF(Responses!AU102="Jarang",1,0)))))</f>
        <v>0</v>
      </c>
      <c r="W102" s="8">
        <f>IF(Responses!AV102="","",IF(Responses!AV102="Selalu",4,IF(Responses!AV102="Sering",3,IF(Responses!AV102="Kadang - Kadang",2,IF(Responses!AV102="Jarang",1,0)))))</f>
        <v>0</v>
      </c>
      <c r="X102" s="8">
        <f>IF(Responses!AW102="","",IF(Responses!AW102="Selalu",4,IF(Responses!AW102="Sering",3,IF(Responses!AW102="Kadang - Kadang",2,IF(Responses!AW102="Jarang",1,0)))))</f>
        <v>4</v>
      </c>
      <c r="Y102" s="20">
        <f t="shared" si="6"/>
        <v>7</v>
      </c>
      <c r="Z102" s="22" t="str">
        <f t="shared" si="7"/>
        <v>Tidak/Sedikit Kecanduan</v>
      </c>
    </row>
    <row r="103" spans="1:26" ht="24" customHeight="1" x14ac:dyDescent="0.3">
      <c r="A103" s="19" t="str">
        <f>Responses!A103</f>
        <v>J1pNMZY</v>
      </c>
      <c r="B103" s="19" t="str">
        <f>Responses!B103</f>
        <v>1AbZkeL</v>
      </c>
      <c r="C103" s="19">
        <f>Responses!C103</f>
        <v>46136.126944444448</v>
      </c>
      <c r="D103" s="19" t="str">
        <f>Responses!D103</f>
        <v xml:space="preserve">Rinanda Puspita Sari Cahya Nugraha </v>
      </c>
      <c r="E103" s="19" t="str">
        <f>Responses!E103</f>
        <v>XI-4</v>
      </c>
      <c r="F103" s="19">
        <f>Responses!F103</f>
        <v>17</v>
      </c>
      <c r="G103" s="8">
        <f>IF(Responses!AF103="","",IF(Responses!AF103="Selalu",4,IF(Responses!AF103="Sering",3,IF(Responses!AF103="Kadang - Kadang",2,IF(Responses!AF103="Jarang",1,0)))))</f>
        <v>2</v>
      </c>
      <c r="H103" s="8">
        <f>IF(Responses!AG103="","",IF(Responses!AG103="Selalu",4,IF(Responses!AG103="Sering",3,IF(Responses!AG103="Kadang - Kadang",2,IF(Responses!AG103="Jarang",1,0)))))</f>
        <v>3</v>
      </c>
      <c r="I103" s="8">
        <f>IF(Responses!AH103="","",IF(Responses!AH103="Selalu",4,IF(Responses!AH103="Sering",3,IF(Responses!AH103="Kadang - Kadang",2,IF(Responses!AH103="Jarang",1,0)))))</f>
        <v>4</v>
      </c>
      <c r="J103" s="8">
        <f>IF(Responses!AI103="","",IF(Responses!AI103="Selalu",4,IF(Responses!AI103="Sering",3,IF(Responses!AI103="Kadang - Kadang",2,IF(Responses!AI103="Jarang",1,0)))))</f>
        <v>0</v>
      </c>
      <c r="K103" s="8">
        <f>IF(Responses!AJ103="","",IF(Responses!AJ103="Selalu",4,IF(Responses!AJ103="Sering",3,IF(Responses!AJ103="Kadang - Kadang",2,IF(Responses!AJ103="Jarang",1,0)))))</f>
        <v>3</v>
      </c>
      <c r="L103" s="8">
        <f>IF(Responses!AK103="","",IF(Responses!AK103="Selalu",4,IF(Responses!AK103="Sering",3,IF(Responses!AK103="Kadang - Kadang",2,IF(Responses!AK103="Jarang",1,0)))))</f>
        <v>4</v>
      </c>
      <c r="M103" s="8">
        <f>IF(Responses!AL103="","",IF(Responses!AL103="Selalu",4,IF(Responses!AL103="Sering",3,IF(Responses!AL103="Kadang - Kadang",2,IF(Responses!AL103="Jarang",1,0)))))</f>
        <v>1</v>
      </c>
      <c r="N103" s="8">
        <f>IF(Responses!AM103="","",IF(Responses!AM103="Selalu",4,IF(Responses!AM103="Sering",3,IF(Responses!AM103="Kadang - Kadang",2,IF(Responses!AM103="Jarang",1,0)))))</f>
        <v>1</v>
      </c>
      <c r="O103" s="8">
        <f>IF(Responses!AN103="","",IF(Responses!AN103="Selalu",4,IF(Responses!AN103="Sering",3,IF(Responses!AN103="Kadang - Kadang",2,IF(Responses!AN103="Jarang",1,0)))))</f>
        <v>3</v>
      </c>
      <c r="P103" s="8">
        <f>IF(Responses!AO103="","",IF(Responses!AO103="Selalu",4,IF(Responses!AO103="Sering",3,IF(Responses!AO103="Kadang - Kadang",2,IF(Responses!AO103="Jarang",1,0)))))</f>
        <v>4</v>
      </c>
      <c r="Q103" s="8">
        <f>IF(Responses!AP103="","",IF(Responses!AP103="Selalu",4,IF(Responses!AP103="Sering",3,IF(Responses!AP103="Kadang - Kadang",2,IF(Responses!AP103="Jarang",1,0)))))</f>
        <v>4</v>
      </c>
      <c r="R103" s="8">
        <f>IF(Responses!AQ103="","",IF(Responses!AQ103="Selalu",4,IF(Responses!AQ103="Sering",3,IF(Responses!AQ103="Kadang - Kadang",2,IF(Responses!AQ103="Jarang",1,0)))))</f>
        <v>4</v>
      </c>
      <c r="S103" s="8">
        <f>IF(Responses!AR103="","",IF(Responses!AR103="Selalu",4,IF(Responses!AR103="Sering",3,IF(Responses!AR103="Kadang - Kadang",2,IF(Responses!AR103="Jarang",1,0)))))</f>
        <v>1</v>
      </c>
      <c r="T103" s="8">
        <f>IF(Responses!AS103="","",IF(Responses!AS103="Selalu",4,IF(Responses!AS103="Sering",3,IF(Responses!AS103="Kadang - Kadang",2,IF(Responses!AS103="Jarang",1,0)))))</f>
        <v>1</v>
      </c>
      <c r="U103" s="8">
        <f>IF(Responses!AT103="","",IF(Responses!AT103="Selalu",4,IF(Responses!AT103="Sering",3,IF(Responses!AT103="Kadang - Kadang",2,IF(Responses!AT103="Jarang",1,0)))))</f>
        <v>1</v>
      </c>
      <c r="V103" s="8">
        <f>IF(Responses!AU103="","",IF(Responses!AU103="Selalu",4,IF(Responses!AU103="Sering",3,IF(Responses!AU103="Kadang - Kadang",2,IF(Responses!AU103="Jarang",1,0)))))</f>
        <v>3</v>
      </c>
      <c r="W103" s="8">
        <f>IF(Responses!AV103="","",IF(Responses!AV103="Selalu",4,IF(Responses!AV103="Sering",3,IF(Responses!AV103="Kadang - Kadang",2,IF(Responses!AV103="Jarang",1,0)))))</f>
        <v>1</v>
      </c>
      <c r="X103" s="8">
        <f>IF(Responses!AW103="","",IF(Responses!AW103="Selalu",4,IF(Responses!AW103="Sering",3,IF(Responses!AW103="Kadang - Kadang",2,IF(Responses!AW103="Jarang",1,0)))))</f>
        <v>0</v>
      </c>
      <c r="Y103" s="20">
        <f t="shared" si="6"/>
        <v>40</v>
      </c>
      <c r="Z103" s="22" t="str">
        <f t="shared" si="7"/>
        <v>Kemungkinan Kecanduan</v>
      </c>
    </row>
    <row r="104" spans="1:26" ht="24" customHeight="1" x14ac:dyDescent="0.3">
      <c r="A104" s="19" t="str">
        <f>Responses!A104</f>
        <v>zEyad7q</v>
      </c>
      <c r="B104" s="19" t="str">
        <f>Responses!B104</f>
        <v>rj0NaEM</v>
      </c>
      <c r="C104" s="19">
        <f>Responses!C104</f>
        <v>46136.12703703704</v>
      </c>
      <c r="D104" s="19" t="str">
        <f>Responses!D104</f>
        <v>Juanita Bintang Kastyawati</v>
      </c>
      <c r="E104" s="19" t="str">
        <f>Responses!E104</f>
        <v>XI-4</v>
      </c>
      <c r="F104" s="19">
        <f>Responses!F104</f>
        <v>17</v>
      </c>
      <c r="G104" s="8">
        <f>IF(Responses!AF104="","",IF(Responses!AF104="Selalu",4,IF(Responses!AF104="Sering",3,IF(Responses!AF104="Kadang - Kadang",2,IF(Responses!AF104="Jarang",1,0)))))</f>
        <v>2</v>
      </c>
      <c r="H104" s="8">
        <f>IF(Responses!AG104="","",IF(Responses!AG104="Selalu",4,IF(Responses!AG104="Sering",3,IF(Responses!AG104="Kadang - Kadang",2,IF(Responses!AG104="Jarang",1,0)))))</f>
        <v>0</v>
      </c>
      <c r="I104" s="8">
        <f>IF(Responses!AH104="","",IF(Responses!AH104="Selalu",4,IF(Responses!AH104="Sering",3,IF(Responses!AH104="Kadang - Kadang",2,IF(Responses!AH104="Jarang",1,0)))))</f>
        <v>2</v>
      </c>
      <c r="J104" s="8">
        <f>IF(Responses!AI104="","",IF(Responses!AI104="Selalu",4,IF(Responses!AI104="Sering",3,IF(Responses!AI104="Kadang - Kadang",2,IF(Responses!AI104="Jarang",1,0)))))</f>
        <v>0</v>
      </c>
      <c r="K104" s="8">
        <f>IF(Responses!AJ104="","",IF(Responses!AJ104="Selalu",4,IF(Responses!AJ104="Sering",3,IF(Responses!AJ104="Kadang - Kadang",2,IF(Responses!AJ104="Jarang",1,0)))))</f>
        <v>0</v>
      </c>
      <c r="L104" s="8">
        <f>IF(Responses!AK104="","",IF(Responses!AK104="Selalu",4,IF(Responses!AK104="Sering",3,IF(Responses!AK104="Kadang - Kadang",2,IF(Responses!AK104="Jarang",1,0)))))</f>
        <v>0</v>
      </c>
      <c r="M104" s="8">
        <f>IF(Responses!AL104="","",IF(Responses!AL104="Selalu",4,IF(Responses!AL104="Sering",3,IF(Responses!AL104="Kadang - Kadang",2,IF(Responses!AL104="Jarang",1,0)))))</f>
        <v>0</v>
      </c>
      <c r="N104" s="8">
        <f>IF(Responses!AM104="","",IF(Responses!AM104="Selalu",4,IF(Responses!AM104="Sering",3,IF(Responses!AM104="Kadang - Kadang",2,IF(Responses!AM104="Jarang",1,0)))))</f>
        <v>3</v>
      </c>
      <c r="O104" s="8">
        <f>IF(Responses!AN104="","",IF(Responses!AN104="Selalu",4,IF(Responses!AN104="Sering",3,IF(Responses!AN104="Kadang - Kadang",2,IF(Responses!AN104="Jarang",1,0)))))</f>
        <v>0</v>
      </c>
      <c r="P104" s="8">
        <f>IF(Responses!AO104="","",IF(Responses!AO104="Selalu",4,IF(Responses!AO104="Sering",3,IF(Responses!AO104="Kadang - Kadang",2,IF(Responses!AO104="Jarang",1,0)))))</f>
        <v>3</v>
      </c>
      <c r="Q104" s="8">
        <f>IF(Responses!AP104="","",IF(Responses!AP104="Selalu",4,IF(Responses!AP104="Sering",3,IF(Responses!AP104="Kadang - Kadang",2,IF(Responses!AP104="Jarang",1,0)))))</f>
        <v>0</v>
      </c>
      <c r="R104" s="8">
        <f>IF(Responses!AQ104="","",IF(Responses!AQ104="Selalu",4,IF(Responses!AQ104="Sering",3,IF(Responses!AQ104="Kadang - Kadang",2,IF(Responses!AQ104="Jarang",1,0)))))</f>
        <v>4</v>
      </c>
      <c r="S104" s="8">
        <f>IF(Responses!AR104="","",IF(Responses!AR104="Selalu",4,IF(Responses!AR104="Sering",3,IF(Responses!AR104="Kadang - Kadang",2,IF(Responses!AR104="Jarang",1,0)))))</f>
        <v>0</v>
      </c>
      <c r="T104" s="8">
        <f>IF(Responses!AS104="","",IF(Responses!AS104="Selalu",4,IF(Responses!AS104="Sering",3,IF(Responses!AS104="Kadang - Kadang",2,IF(Responses!AS104="Jarang",1,0)))))</f>
        <v>2</v>
      </c>
      <c r="U104" s="8">
        <f>IF(Responses!AT104="","",IF(Responses!AT104="Selalu",4,IF(Responses!AT104="Sering",3,IF(Responses!AT104="Kadang - Kadang",2,IF(Responses!AT104="Jarang",1,0)))))</f>
        <v>2</v>
      </c>
      <c r="V104" s="8">
        <f>IF(Responses!AU104="","",IF(Responses!AU104="Selalu",4,IF(Responses!AU104="Sering",3,IF(Responses!AU104="Kadang - Kadang",2,IF(Responses!AU104="Jarang",1,0)))))</f>
        <v>0</v>
      </c>
      <c r="W104" s="8">
        <f>IF(Responses!AV104="","",IF(Responses!AV104="Selalu",4,IF(Responses!AV104="Sering",3,IF(Responses!AV104="Kadang - Kadang",2,IF(Responses!AV104="Jarang",1,0)))))</f>
        <v>0</v>
      </c>
      <c r="X104" s="8">
        <f>IF(Responses!AW104="","",IF(Responses!AW104="Selalu",4,IF(Responses!AW104="Sering",3,IF(Responses!AW104="Kadang - Kadang",2,IF(Responses!AW104="Jarang",1,0)))))</f>
        <v>0</v>
      </c>
      <c r="Y104" s="20">
        <f t="shared" si="6"/>
        <v>18</v>
      </c>
      <c r="Z104" s="22" t="str">
        <f t="shared" si="7"/>
        <v>Tidak/Sedikit Kecanduan</v>
      </c>
    </row>
    <row r="105" spans="1:26" ht="24" customHeight="1" x14ac:dyDescent="0.3">
      <c r="A105" s="19" t="str">
        <f>Responses!A105</f>
        <v>RWM7jpv</v>
      </c>
      <c r="B105" s="19" t="str">
        <f>Responses!B105</f>
        <v>gDQyqbM</v>
      </c>
      <c r="C105" s="19">
        <f>Responses!C105</f>
        <v>46136.127199074072</v>
      </c>
      <c r="D105" s="19" t="str">
        <f>Responses!D105</f>
        <v>Fajar Afghan Rahmadhani</v>
      </c>
      <c r="E105" s="19" t="str">
        <f>Responses!E105</f>
        <v>XI-4</v>
      </c>
      <c r="F105" s="19">
        <f>Responses!F105</f>
        <v>17</v>
      </c>
      <c r="G105" s="8">
        <f>IF(Responses!AF105="","",IF(Responses!AF105="Selalu",4,IF(Responses!AF105="Sering",3,IF(Responses!AF105="Kadang - Kadang",2,IF(Responses!AF105="Jarang",1,0)))))</f>
        <v>3</v>
      </c>
      <c r="H105" s="8">
        <f>IF(Responses!AG105="","",IF(Responses!AG105="Selalu",4,IF(Responses!AG105="Sering",3,IF(Responses!AG105="Kadang - Kadang",2,IF(Responses!AG105="Jarang",1,0)))))</f>
        <v>1</v>
      </c>
      <c r="I105" s="8">
        <f>IF(Responses!AH105="","",IF(Responses!AH105="Selalu",4,IF(Responses!AH105="Sering",3,IF(Responses!AH105="Kadang - Kadang",2,IF(Responses!AH105="Jarang",1,0)))))</f>
        <v>2</v>
      </c>
      <c r="J105" s="8">
        <f>IF(Responses!AI105="","",IF(Responses!AI105="Selalu",4,IF(Responses!AI105="Sering",3,IF(Responses!AI105="Kadang - Kadang",2,IF(Responses!AI105="Jarang",1,0)))))</f>
        <v>0</v>
      </c>
      <c r="K105" s="8">
        <f>IF(Responses!AJ105="","",IF(Responses!AJ105="Selalu",4,IF(Responses!AJ105="Sering",3,IF(Responses!AJ105="Kadang - Kadang",2,IF(Responses!AJ105="Jarang",1,0)))))</f>
        <v>2</v>
      </c>
      <c r="L105" s="8">
        <f>IF(Responses!AK105="","",IF(Responses!AK105="Selalu",4,IF(Responses!AK105="Sering",3,IF(Responses!AK105="Kadang - Kadang",2,IF(Responses!AK105="Jarang",1,0)))))</f>
        <v>2</v>
      </c>
      <c r="M105" s="8">
        <f>IF(Responses!AL105="","",IF(Responses!AL105="Selalu",4,IF(Responses!AL105="Sering",3,IF(Responses!AL105="Kadang - Kadang",2,IF(Responses!AL105="Jarang",1,0)))))</f>
        <v>2</v>
      </c>
      <c r="N105" s="8">
        <f>IF(Responses!AM105="","",IF(Responses!AM105="Selalu",4,IF(Responses!AM105="Sering",3,IF(Responses!AM105="Kadang - Kadang",2,IF(Responses!AM105="Jarang",1,0)))))</f>
        <v>3</v>
      </c>
      <c r="O105" s="8">
        <f>IF(Responses!AN105="","",IF(Responses!AN105="Selalu",4,IF(Responses!AN105="Sering",3,IF(Responses!AN105="Kadang - Kadang",2,IF(Responses!AN105="Jarang",1,0)))))</f>
        <v>0</v>
      </c>
      <c r="P105" s="8">
        <f>IF(Responses!AO105="","",IF(Responses!AO105="Selalu",4,IF(Responses!AO105="Sering",3,IF(Responses!AO105="Kadang - Kadang",2,IF(Responses!AO105="Jarang",1,0)))))</f>
        <v>1</v>
      </c>
      <c r="Q105" s="8">
        <f>IF(Responses!AP105="","",IF(Responses!AP105="Selalu",4,IF(Responses!AP105="Sering",3,IF(Responses!AP105="Kadang - Kadang",2,IF(Responses!AP105="Jarang",1,0)))))</f>
        <v>2</v>
      </c>
      <c r="R105" s="8">
        <f>IF(Responses!AQ105="","",IF(Responses!AQ105="Selalu",4,IF(Responses!AQ105="Sering",3,IF(Responses!AQ105="Kadang - Kadang",2,IF(Responses!AQ105="Jarang",1,0)))))</f>
        <v>2</v>
      </c>
      <c r="S105" s="8">
        <f>IF(Responses!AR105="","",IF(Responses!AR105="Selalu",4,IF(Responses!AR105="Sering",3,IF(Responses!AR105="Kadang - Kadang",2,IF(Responses!AR105="Jarang",1,0)))))</f>
        <v>1</v>
      </c>
      <c r="T105" s="8">
        <f>IF(Responses!AS105="","",IF(Responses!AS105="Selalu",4,IF(Responses!AS105="Sering",3,IF(Responses!AS105="Kadang - Kadang",2,IF(Responses!AS105="Jarang",1,0)))))</f>
        <v>1</v>
      </c>
      <c r="U105" s="8">
        <f>IF(Responses!AT105="","",IF(Responses!AT105="Selalu",4,IF(Responses!AT105="Sering",3,IF(Responses!AT105="Kadang - Kadang",2,IF(Responses!AT105="Jarang",1,0)))))</f>
        <v>1</v>
      </c>
      <c r="V105" s="8">
        <f>IF(Responses!AU105="","",IF(Responses!AU105="Selalu",4,IF(Responses!AU105="Sering",3,IF(Responses!AU105="Kadang - Kadang",2,IF(Responses!AU105="Jarang",1,0)))))</f>
        <v>0</v>
      </c>
      <c r="W105" s="8">
        <f>IF(Responses!AV105="","",IF(Responses!AV105="Selalu",4,IF(Responses!AV105="Sering",3,IF(Responses!AV105="Kadang - Kadang",2,IF(Responses!AV105="Jarang",1,0)))))</f>
        <v>2</v>
      </c>
      <c r="X105" s="8">
        <f>IF(Responses!AW105="","",IF(Responses!AW105="Selalu",4,IF(Responses!AW105="Sering",3,IF(Responses!AW105="Kadang - Kadang",2,IF(Responses!AW105="Jarang",1,0)))))</f>
        <v>0</v>
      </c>
      <c r="Y105" s="20">
        <f t="shared" si="6"/>
        <v>25</v>
      </c>
      <c r="Z105" s="22" t="str">
        <f t="shared" si="7"/>
        <v>Tidak/Sedikit Kecanduan</v>
      </c>
    </row>
    <row r="106" spans="1:26" ht="24" customHeight="1" x14ac:dyDescent="0.3">
      <c r="A106" s="19" t="str">
        <f>Responses!A106</f>
        <v>kbeVzDZ</v>
      </c>
      <c r="B106" s="19" t="str">
        <f>Responses!B106</f>
        <v>rj0NOBX</v>
      </c>
      <c r="C106" s="19">
        <f>Responses!C106</f>
        <v>46136.127210648148</v>
      </c>
      <c r="D106" s="19" t="str">
        <f>Responses!D106</f>
        <v>Muhammad Syabil Arkan</v>
      </c>
      <c r="E106" s="19" t="str">
        <f>Responses!E106</f>
        <v>XI-4</v>
      </c>
      <c r="F106" s="19">
        <f>Responses!F106</f>
        <v>17</v>
      </c>
      <c r="G106" s="8">
        <f>IF(Responses!AF106="","",IF(Responses!AF106="Selalu",4,IF(Responses!AF106="Sering",3,IF(Responses!AF106="Kadang - Kadang",2,IF(Responses!AF106="Jarang",1,0)))))</f>
        <v>2</v>
      </c>
      <c r="H106" s="8">
        <f>IF(Responses!AG106="","",IF(Responses!AG106="Selalu",4,IF(Responses!AG106="Sering",3,IF(Responses!AG106="Kadang - Kadang",2,IF(Responses!AG106="Jarang",1,0)))))</f>
        <v>2</v>
      </c>
      <c r="I106" s="8">
        <f>IF(Responses!AH106="","",IF(Responses!AH106="Selalu",4,IF(Responses!AH106="Sering",3,IF(Responses!AH106="Kadang - Kadang",2,IF(Responses!AH106="Jarang",1,0)))))</f>
        <v>1</v>
      </c>
      <c r="J106" s="8">
        <f>IF(Responses!AI106="","",IF(Responses!AI106="Selalu",4,IF(Responses!AI106="Sering",3,IF(Responses!AI106="Kadang - Kadang",2,IF(Responses!AI106="Jarang",1,0)))))</f>
        <v>0</v>
      </c>
      <c r="K106" s="8">
        <f>IF(Responses!AJ106="","",IF(Responses!AJ106="Selalu",4,IF(Responses!AJ106="Sering",3,IF(Responses!AJ106="Kadang - Kadang",2,IF(Responses!AJ106="Jarang",1,0)))))</f>
        <v>0</v>
      </c>
      <c r="L106" s="8">
        <f>IF(Responses!AK106="","",IF(Responses!AK106="Selalu",4,IF(Responses!AK106="Sering",3,IF(Responses!AK106="Kadang - Kadang",2,IF(Responses!AK106="Jarang",1,0)))))</f>
        <v>1</v>
      </c>
      <c r="M106" s="8">
        <f>IF(Responses!AL106="","",IF(Responses!AL106="Selalu",4,IF(Responses!AL106="Sering",3,IF(Responses!AL106="Kadang - Kadang",2,IF(Responses!AL106="Jarang",1,0)))))</f>
        <v>2</v>
      </c>
      <c r="N106" s="8">
        <f>IF(Responses!AM106="","",IF(Responses!AM106="Selalu",4,IF(Responses!AM106="Sering",3,IF(Responses!AM106="Kadang - Kadang",2,IF(Responses!AM106="Jarang",1,0)))))</f>
        <v>1</v>
      </c>
      <c r="O106" s="8">
        <f>IF(Responses!AN106="","",IF(Responses!AN106="Selalu",4,IF(Responses!AN106="Sering",3,IF(Responses!AN106="Kadang - Kadang",2,IF(Responses!AN106="Jarang",1,0)))))</f>
        <v>2</v>
      </c>
      <c r="P106" s="8">
        <f>IF(Responses!AO106="","",IF(Responses!AO106="Selalu",4,IF(Responses!AO106="Sering",3,IF(Responses!AO106="Kadang - Kadang",2,IF(Responses!AO106="Jarang",1,0)))))</f>
        <v>2</v>
      </c>
      <c r="Q106" s="8">
        <f>IF(Responses!AP106="","",IF(Responses!AP106="Selalu",4,IF(Responses!AP106="Sering",3,IF(Responses!AP106="Kadang - Kadang",2,IF(Responses!AP106="Jarang",1,0)))))</f>
        <v>0</v>
      </c>
      <c r="R106" s="8">
        <f>IF(Responses!AQ106="","",IF(Responses!AQ106="Selalu",4,IF(Responses!AQ106="Sering",3,IF(Responses!AQ106="Kadang - Kadang",2,IF(Responses!AQ106="Jarang",1,0)))))</f>
        <v>0</v>
      </c>
      <c r="S106" s="8">
        <f>IF(Responses!AR106="","",IF(Responses!AR106="Selalu",4,IF(Responses!AR106="Sering",3,IF(Responses!AR106="Kadang - Kadang",2,IF(Responses!AR106="Jarang",1,0)))))</f>
        <v>0</v>
      </c>
      <c r="T106" s="8">
        <f>IF(Responses!AS106="","",IF(Responses!AS106="Selalu",4,IF(Responses!AS106="Sering",3,IF(Responses!AS106="Kadang - Kadang",2,IF(Responses!AS106="Jarang",1,0)))))</f>
        <v>0</v>
      </c>
      <c r="U106" s="8">
        <f>IF(Responses!AT106="","",IF(Responses!AT106="Selalu",4,IF(Responses!AT106="Sering",3,IF(Responses!AT106="Kadang - Kadang",2,IF(Responses!AT106="Jarang",1,0)))))</f>
        <v>0</v>
      </c>
      <c r="V106" s="8">
        <f>IF(Responses!AU106="","",IF(Responses!AU106="Selalu",4,IF(Responses!AU106="Sering",3,IF(Responses!AU106="Kadang - Kadang",2,IF(Responses!AU106="Jarang",1,0)))))</f>
        <v>1</v>
      </c>
      <c r="W106" s="8">
        <f>IF(Responses!AV106="","",IF(Responses!AV106="Selalu",4,IF(Responses!AV106="Sering",3,IF(Responses!AV106="Kadang - Kadang",2,IF(Responses!AV106="Jarang",1,0)))))</f>
        <v>2</v>
      </c>
      <c r="X106" s="8">
        <f>IF(Responses!AW106="","",IF(Responses!AW106="Selalu",4,IF(Responses!AW106="Sering",3,IF(Responses!AW106="Kadang - Kadang",2,IF(Responses!AW106="Jarang",1,0)))))</f>
        <v>1</v>
      </c>
      <c r="Y106" s="20">
        <f t="shared" si="6"/>
        <v>17</v>
      </c>
      <c r="Z106" s="22" t="str">
        <f t="shared" si="7"/>
        <v>Tidak/Sedikit Kecanduan</v>
      </c>
    </row>
    <row r="107" spans="1:26" ht="24" customHeight="1" x14ac:dyDescent="0.3">
      <c r="A107" s="19" t="str">
        <f>Responses!A107</f>
        <v>zEyab70</v>
      </c>
      <c r="B107" s="19" t="str">
        <f>Responses!B107</f>
        <v>Y5oEGOB</v>
      </c>
      <c r="C107" s="19">
        <f>Responses!C107</f>
        <v>46136.127245370371</v>
      </c>
      <c r="D107" s="19" t="str">
        <f>Responses!D107</f>
        <v>Amanda Faaizah</v>
      </c>
      <c r="E107" s="19" t="str">
        <f>Responses!E107</f>
        <v>XI-4</v>
      </c>
      <c r="F107" s="19">
        <f>Responses!F107</f>
        <v>18</v>
      </c>
      <c r="G107" s="8">
        <f>IF(Responses!AF107="","",IF(Responses!AF107="Selalu",4,IF(Responses!AF107="Sering",3,IF(Responses!AF107="Kadang - Kadang",2,IF(Responses!AF107="Jarang",1,0)))))</f>
        <v>2</v>
      </c>
      <c r="H107" s="8">
        <f>IF(Responses!AG107="","",IF(Responses!AG107="Selalu",4,IF(Responses!AG107="Sering",3,IF(Responses!AG107="Kadang - Kadang",2,IF(Responses!AG107="Jarang",1,0)))))</f>
        <v>2</v>
      </c>
      <c r="I107" s="8">
        <f>IF(Responses!AH107="","",IF(Responses!AH107="Selalu",4,IF(Responses!AH107="Sering",3,IF(Responses!AH107="Kadang - Kadang",2,IF(Responses!AH107="Jarang",1,0)))))</f>
        <v>2</v>
      </c>
      <c r="J107" s="8">
        <f>IF(Responses!AI107="","",IF(Responses!AI107="Selalu",4,IF(Responses!AI107="Sering",3,IF(Responses!AI107="Kadang - Kadang",2,IF(Responses!AI107="Jarang",1,0)))))</f>
        <v>2</v>
      </c>
      <c r="K107" s="8">
        <f>IF(Responses!AJ107="","",IF(Responses!AJ107="Selalu",4,IF(Responses!AJ107="Sering",3,IF(Responses!AJ107="Kadang - Kadang",2,IF(Responses!AJ107="Jarang",1,0)))))</f>
        <v>1</v>
      </c>
      <c r="L107" s="8">
        <f>IF(Responses!AK107="","",IF(Responses!AK107="Selalu",4,IF(Responses!AK107="Sering",3,IF(Responses!AK107="Kadang - Kadang",2,IF(Responses!AK107="Jarang",1,0)))))</f>
        <v>0</v>
      </c>
      <c r="M107" s="8">
        <f>IF(Responses!AL107="","",IF(Responses!AL107="Selalu",4,IF(Responses!AL107="Sering",3,IF(Responses!AL107="Kadang - Kadang",2,IF(Responses!AL107="Jarang",1,0)))))</f>
        <v>1</v>
      </c>
      <c r="N107" s="8">
        <f>IF(Responses!AM107="","",IF(Responses!AM107="Selalu",4,IF(Responses!AM107="Sering",3,IF(Responses!AM107="Kadang - Kadang",2,IF(Responses!AM107="Jarang",1,0)))))</f>
        <v>3</v>
      </c>
      <c r="O107" s="8">
        <f>IF(Responses!AN107="","",IF(Responses!AN107="Selalu",4,IF(Responses!AN107="Sering",3,IF(Responses!AN107="Kadang - Kadang",2,IF(Responses!AN107="Jarang",1,0)))))</f>
        <v>1</v>
      </c>
      <c r="P107" s="8">
        <f>IF(Responses!AO107="","",IF(Responses!AO107="Selalu",4,IF(Responses!AO107="Sering",3,IF(Responses!AO107="Kadang - Kadang",2,IF(Responses!AO107="Jarang",1,0)))))</f>
        <v>2</v>
      </c>
      <c r="Q107" s="8">
        <f>IF(Responses!AP107="","",IF(Responses!AP107="Selalu",4,IF(Responses!AP107="Sering",3,IF(Responses!AP107="Kadang - Kadang",2,IF(Responses!AP107="Jarang",1,0)))))</f>
        <v>1</v>
      </c>
      <c r="R107" s="8">
        <f>IF(Responses!AQ107="","",IF(Responses!AQ107="Selalu",4,IF(Responses!AQ107="Sering",3,IF(Responses!AQ107="Kadang - Kadang",2,IF(Responses!AQ107="Jarang",1,0)))))</f>
        <v>1</v>
      </c>
      <c r="S107" s="8">
        <f>IF(Responses!AR107="","",IF(Responses!AR107="Selalu",4,IF(Responses!AR107="Sering",3,IF(Responses!AR107="Kadang - Kadang",2,IF(Responses!AR107="Jarang",1,0)))))</f>
        <v>2</v>
      </c>
      <c r="T107" s="8">
        <f>IF(Responses!AS107="","",IF(Responses!AS107="Selalu",4,IF(Responses!AS107="Sering",3,IF(Responses!AS107="Kadang - Kadang",2,IF(Responses!AS107="Jarang",1,0)))))</f>
        <v>0</v>
      </c>
      <c r="U107" s="8">
        <f>IF(Responses!AT107="","",IF(Responses!AT107="Selalu",4,IF(Responses!AT107="Sering",3,IF(Responses!AT107="Kadang - Kadang",2,IF(Responses!AT107="Jarang",1,0)))))</f>
        <v>1</v>
      </c>
      <c r="V107" s="8">
        <f>IF(Responses!AU107="","",IF(Responses!AU107="Selalu",4,IF(Responses!AU107="Sering",3,IF(Responses!AU107="Kadang - Kadang",2,IF(Responses!AU107="Jarang",1,0)))))</f>
        <v>2</v>
      </c>
      <c r="W107" s="8">
        <f>IF(Responses!AV107="","",IF(Responses!AV107="Selalu",4,IF(Responses!AV107="Sering",3,IF(Responses!AV107="Kadang - Kadang",2,IF(Responses!AV107="Jarang",1,0)))))</f>
        <v>2</v>
      </c>
      <c r="X107" s="8">
        <f>IF(Responses!AW107="","",IF(Responses!AW107="Selalu",4,IF(Responses!AW107="Sering",3,IF(Responses!AW107="Kadang - Kadang",2,IF(Responses!AW107="Jarang",1,0)))))</f>
        <v>1</v>
      </c>
      <c r="Y107" s="20">
        <f t="shared" si="6"/>
        <v>26</v>
      </c>
      <c r="Z107" s="22" t="str">
        <f t="shared" si="7"/>
        <v>Tidak/Sedikit Kecanduan</v>
      </c>
    </row>
    <row r="108" spans="1:26" ht="24" customHeight="1" x14ac:dyDescent="0.3">
      <c r="A108" s="19" t="str">
        <f>Responses!A108</f>
        <v>xVMegav</v>
      </c>
      <c r="B108" s="19" t="str">
        <f>Responses!B108</f>
        <v>b52BWO1</v>
      </c>
      <c r="C108" s="19">
        <f>Responses!C108</f>
        <v>46136.127476851849</v>
      </c>
      <c r="D108" s="19" t="str">
        <f>Responses!D108</f>
        <v>Muhammad Chandra Afrianto</v>
      </c>
      <c r="E108" s="19" t="str">
        <f>Responses!E108</f>
        <v>XI-4</v>
      </c>
      <c r="F108" s="19">
        <f>Responses!F108</f>
        <v>17</v>
      </c>
      <c r="G108" s="8">
        <f>IF(Responses!AF108="","",IF(Responses!AF108="Selalu",4,IF(Responses!AF108="Sering",3,IF(Responses!AF108="Kadang - Kadang",2,IF(Responses!AF108="Jarang",1,0)))))</f>
        <v>3</v>
      </c>
      <c r="H108" s="8">
        <f>IF(Responses!AG108="","",IF(Responses!AG108="Selalu",4,IF(Responses!AG108="Sering",3,IF(Responses!AG108="Kadang - Kadang",2,IF(Responses!AG108="Jarang",1,0)))))</f>
        <v>2</v>
      </c>
      <c r="I108" s="8">
        <f>IF(Responses!AH108="","",IF(Responses!AH108="Selalu",4,IF(Responses!AH108="Sering",3,IF(Responses!AH108="Kadang - Kadang",2,IF(Responses!AH108="Jarang",1,0)))))</f>
        <v>2</v>
      </c>
      <c r="J108" s="8">
        <f>IF(Responses!AI108="","",IF(Responses!AI108="Selalu",4,IF(Responses!AI108="Sering",3,IF(Responses!AI108="Kadang - Kadang",2,IF(Responses!AI108="Jarang",1,0)))))</f>
        <v>3</v>
      </c>
      <c r="K108" s="8">
        <f>IF(Responses!AJ108="","",IF(Responses!AJ108="Selalu",4,IF(Responses!AJ108="Sering",3,IF(Responses!AJ108="Kadang - Kadang",2,IF(Responses!AJ108="Jarang",1,0)))))</f>
        <v>0</v>
      </c>
      <c r="L108" s="8">
        <f>IF(Responses!AK108="","",IF(Responses!AK108="Selalu",4,IF(Responses!AK108="Sering",3,IF(Responses!AK108="Kadang - Kadang",2,IF(Responses!AK108="Jarang",1,0)))))</f>
        <v>0</v>
      </c>
      <c r="M108" s="8">
        <f>IF(Responses!AL108="","",IF(Responses!AL108="Selalu",4,IF(Responses!AL108="Sering",3,IF(Responses!AL108="Kadang - Kadang",2,IF(Responses!AL108="Jarang",1,0)))))</f>
        <v>0</v>
      </c>
      <c r="N108" s="8">
        <f>IF(Responses!AM108="","",IF(Responses!AM108="Selalu",4,IF(Responses!AM108="Sering",3,IF(Responses!AM108="Kadang - Kadang",2,IF(Responses!AM108="Jarang",1,0)))))</f>
        <v>0</v>
      </c>
      <c r="O108" s="8">
        <f>IF(Responses!AN108="","",IF(Responses!AN108="Selalu",4,IF(Responses!AN108="Sering",3,IF(Responses!AN108="Kadang - Kadang",2,IF(Responses!AN108="Jarang",1,0)))))</f>
        <v>0</v>
      </c>
      <c r="P108" s="8">
        <f>IF(Responses!AO108="","",IF(Responses!AO108="Selalu",4,IF(Responses!AO108="Sering",3,IF(Responses!AO108="Kadang - Kadang",2,IF(Responses!AO108="Jarang",1,0)))))</f>
        <v>0</v>
      </c>
      <c r="Q108" s="8">
        <f>IF(Responses!AP108="","",IF(Responses!AP108="Selalu",4,IF(Responses!AP108="Sering",3,IF(Responses!AP108="Kadang - Kadang",2,IF(Responses!AP108="Jarang",1,0)))))</f>
        <v>0</v>
      </c>
      <c r="R108" s="8">
        <f>IF(Responses!AQ108="","",IF(Responses!AQ108="Selalu",4,IF(Responses!AQ108="Sering",3,IF(Responses!AQ108="Kadang - Kadang",2,IF(Responses!AQ108="Jarang",1,0)))))</f>
        <v>0</v>
      </c>
      <c r="S108" s="8">
        <f>IF(Responses!AR108="","",IF(Responses!AR108="Selalu",4,IF(Responses!AR108="Sering",3,IF(Responses!AR108="Kadang - Kadang",2,IF(Responses!AR108="Jarang",1,0)))))</f>
        <v>0</v>
      </c>
      <c r="T108" s="8">
        <f>IF(Responses!AS108="","",IF(Responses!AS108="Selalu",4,IF(Responses!AS108="Sering",3,IF(Responses!AS108="Kadang - Kadang",2,IF(Responses!AS108="Jarang",1,0)))))</f>
        <v>0</v>
      </c>
      <c r="U108" s="8">
        <f>IF(Responses!AT108="","",IF(Responses!AT108="Selalu",4,IF(Responses!AT108="Sering",3,IF(Responses!AT108="Kadang - Kadang",2,IF(Responses!AT108="Jarang",1,0)))))</f>
        <v>0</v>
      </c>
      <c r="V108" s="8">
        <f>IF(Responses!AU108="","",IF(Responses!AU108="Selalu",4,IF(Responses!AU108="Sering",3,IF(Responses!AU108="Kadang - Kadang",2,IF(Responses!AU108="Jarang",1,0)))))</f>
        <v>0</v>
      </c>
      <c r="W108" s="8">
        <f>IF(Responses!AV108="","",IF(Responses!AV108="Selalu",4,IF(Responses!AV108="Sering",3,IF(Responses!AV108="Kadang - Kadang",2,IF(Responses!AV108="Jarang",1,0)))))</f>
        <v>0</v>
      </c>
      <c r="X108" s="8">
        <f>IF(Responses!AW108="","",IF(Responses!AW108="Selalu",4,IF(Responses!AW108="Sering",3,IF(Responses!AW108="Kadang - Kadang",2,IF(Responses!AW108="Jarang",1,0)))))</f>
        <v>0</v>
      </c>
      <c r="Y108" s="20">
        <f t="shared" si="6"/>
        <v>10</v>
      </c>
      <c r="Z108" s="22" t="str">
        <f t="shared" si="7"/>
        <v>Tidak/Sedikit Kecanduan</v>
      </c>
    </row>
    <row r="109" spans="1:26" ht="24" customHeight="1" x14ac:dyDescent="0.3">
      <c r="A109" s="19" t="str">
        <f>Responses!A109</f>
        <v>X5JK9Xg</v>
      </c>
      <c r="B109" s="19" t="str">
        <f>Responses!B109</f>
        <v>rj0NoNN</v>
      </c>
      <c r="C109" s="19">
        <f>Responses!C109</f>
        <v>46136.127627314818</v>
      </c>
      <c r="D109" s="19" t="str">
        <f>Responses!D109</f>
        <v>Muhammad Rizqi</v>
      </c>
      <c r="E109" s="19" t="str">
        <f>Responses!E109</f>
        <v>XI-4</v>
      </c>
      <c r="F109" s="19">
        <f>Responses!F109</f>
        <v>17</v>
      </c>
      <c r="G109" s="8">
        <f>IF(Responses!AF109="","",IF(Responses!AF109="Selalu",4,IF(Responses!AF109="Sering",3,IF(Responses!AF109="Kadang - Kadang",2,IF(Responses!AF109="Jarang",1,0)))))</f>
        <v>2</v>
      </c>
      <c r="H109" s="8">
        <f>IF(Responses!AG109="","",IF(Responses!AG109="Selalu",4,IF(Responses!AG109="Sering",3,IF(Responses!AG109="Kadang - Kadang",2,IF(Responses!AG109="Jarang",1,0)))))</f>
        <v>2</v>
      </c>
      <c r="I109" s="8">
        <f>IF(Responses!AH109="","",IF(Responses!AH109="Selalu",4,IF(Responses!AH109="Sering",3,IF(Responses!AH109="Kadang - Kadang",2,IF(Responses!AH109="Jarang",1,0)))))</f>
        <v>1</v>
      </c>
      <c r="J109" s="8">
        <f>IF(Responses!AI109="","",IF(Responses!AI109="Selalu",4,IF(Responses!AI109="Sering",3,IF(Responses!AI109="Kadang - Kadang",2,IF(Responses!AI109="Jarang",1,0)))))</f>
        <v>0</v>
      </c>
      <c r="K109" s="8">
        <f>IF(Responses!AJ109="","",IF(Responses!AJ109="Selalu",4,IF(Responses!AJ109="Sering",3,IF(Responses!AJ109="Kadang - Kadang",2,IF(Responses!AJ109="Jarang",1,0)))))</f>
        <v>1</v>
      </c>
      <c r="L109" s="8">
        <f>IF(Responses!AK109="","",IF(Responses!AK109="Selalu",4,IF(Responses!AK109="Sering",3,IF(Responses!AK109="Kadang - Kadang",2,IF(Responses!AK109="Jarang",1,0)))))</f>
        <v>0</v>
      </c>
      <c r="M109" s="8">
        <f>IF(Responses!AL109="","",IF(Responses!AL109="Selalu",4,IF(Responses!AL109="Sering",3,IF(Responses!AL109="Kadang - Kadang",2,IF(Responses!AL109="Jarang",1,0)))))</f>
        <v>1</v>
      </c>
      <c r="N109" s="8">
        <f>IF(Responses!AM109="","",IF(Responses!AM109="Selalu",4,IF(Responses!AM109="Sering",3,IF(Responses!AM109="Kadang - Kadang",2,IF(Responses!AM109="Jarang",1,0)))))</f>
        <v>2</v>
      </c>
      <c r="O109" s="8">
        <f>IF(Responses!AN109="","",IF(Responses!AN109="Selalu",4,IF(Responses!AN109="Sering",3,IF(Responses!AN109="Kadang - Kadang",2,IF(Responses!AN109="Jarang",1,0)))))</f>
        <v>4</v>
      </c>
      <c r="P109" s="8">
        <f>IF(Responses!AO109="","",IF(Responses!AO109="Selalu",4,IF(Responses!AO109="Sering",3,IF(Responses!AO109="Kadang - Kadang",2,IF(Responses!AO109="Jarang",1,0)))))</f>
        <v>2</v>
      </c>
      <c r="Q109" s="8">
        <f>IF(Responses!AP109="","",IF(Responses!AP109="Selalu",4,IF(Responses!AP109="Sering",3,IF(Responses!AP109="Kadang - Kadang",2,IF(Responses!AP109="Jarang",1,0)))))</f>
        <v>2</v>
      </c>
      <c r="R109" s="8">
        <f>IF(Responses!AQ109="","",IF(Responses!AQ109="Selalu",4,IF(Responses!AQ109="Sering",3,IF(Responses!AQ109="Kadang - Kadang",2,IF(Responses!AQ109="Jarang",1,0)))))</f>
        <v>1</v>
      </c>
      <c r="S109" s="8">
        <f>IF(Responses!AR109="","",IF(Responses!AR109="Selalu",4,IF(Responses!AR109="Sering",3,IF(Responses!AR109="Kadang - Kadang",2,IF(Responses!AR109="Jarang",1,0)))))</f>
        <v>3</v>
      </c>
      <c r="T109" s="8">
        <f>IF(Responses!AS109="","",IF(Responses!AS109="Selalu",4,IF(Responses!AS109="Sering",3,IF(Responses!AS109="Kadang - Kadang",2,IF(Responses!AS109="Jarang",1,0)))))</f>
        <v>1</v>
      </c>
      <c r="U109" s="8">
        <f>IF(Responses!AT109="","",IF(Responses!AT109="Selalu",4,IF(Responses!AT109="Sering",3,IF(Responses!AT109="Kadang - Kadang",2,IF(Responses!AT109="Jarang",1,0)))))</f>
        <v>2</v>
      </c>
      <c r="V109" s="8">
        <f>IF(Responses!AU109="","",IF(Responses!AU109="Selalu",4,IF(Responses!AU109="Sering",3,IF(Responses!AU109="Kadang - Kadang",2,IF(Responses!AU109="Jarang",1,0)))))</f>
        <v>0</v>
      </c>
      <c r="W109" s="8">
        <f>IF(Responses!AV109="","",IF(Responses!AV109="Selalu",4,IF(Responses!AV109="Sering",3,IF(Responses!AV109="Kadang - Kadang",2,IF(Responses!AV109="Jarang",1,0)))))</f>
        <v>2</v>
      </c>
      <c r="X109" s="8">
        <f>IF(Responses!AW109="","",IF(Responses!AW109="Selalu",4,IF(Responses!AW109="Sering",3,IF(Responses!AW109="Kadang - Kadang",2,IF(Responses!AW109="Jarang",1,0)))))</f>
        <v>3</v>
      </c>
      <c r="Y109" s="20">
        <f t="shared" si="6"/>
        <v>29</v>
      </c>
      <c r="Z109" s="22" t="str">
        <f t="shared" si="7"/>
        <v>Tidak/Sedikit Kecanduan</v>
      </c>
    </row>
    <row r="110" spans="1:26" ht="24" customHeight="1" x14ac:dyDescent="0.3">
      <c r="A110" s="19" t="str">
        <f>Responses!A110</f>
        <v>Ge92glz</v>
      </c>
      <c r="B110" s="19" t="str">
        <f>Responses!B110</f>
        <v>rj0NPlL</v>
      </c>
      <c r="C110" s="19">
        <f>Responses!C110</f>
        <v>46136.12767361111</v>
      </c>
      <c r="D110" s="19" t="str">
        <f>Responses!D110</f>
        <v xml:space="preserve">Azain </v>
      </c>
      <c r="E110" s="19" t="str">
        <f>Responses!E110</f>
        <v>XI-4</v>
      </c>
      <c r="F110" s="19">
        <f>Responses!F110</f>
        <v>17</v>
      </c>
      <c r="G110" s="8">
        <f>IF(Responses!AF110="","",IF(Responses!AF110="Selalu",4,IF(Responses!AF110="Sering",3,IF(Responses!AF110="Kadang - Kadang",2,IF(Responses!AF110="Jarang",1,0)))))</f>
        <v>1</v>
      </c>
      <c r="H110" s="8">
        <f>IF(Responses!AG110="","",IF(Responses!AG110="Selalu",4,IF(Responses!AG110="Sering",3,IF(Responses!AG110="Kadang - Kadang",2,IF(Responses!AG110="Jarang",1,0)))))</f>
        <v>0</v>
      </c>
      <c r="I110" s="8">
        <f>IF(Responses!AH110="","",IF(Responses!AH110="Selalu",4,IF(Responses!AH110="Sering",3,IF(Responses!AH110="Kadang - Kadang",2,IF(Responses!AH110="Jarang",1,0)))))</f>
        <v>0</v>
      </c>
      <c r="J110" s="8">
        <f>IF(Responses!AI110="","",IF(Responses!AI110="Selalu",4,IF(Responses!AI110="Sering",3,IF(Responses!AI110="Kadang - Kadang",2,IF(Responses!AI110="Jarang",1,0)))))</f>
        <v>0</v>
      </c>
      <c r="K110" s="8">
        <f>IF(Responses!AJ110="","",IF(Responses!AJ110="Selalu",4,IF(Responses!AJ110="Sering",3,IF(Responses!AJ110="Kadang - Kadang",2,IF(Responses!AJ110="Jarang",1,0)))))</f>
        <v>0</v>
      </c>
      <c r="L110" s="8">
        <f>IF(Responses!AK110="","",IF(Responses!AK110="Selalu",4,IF(Responses!AK110="Sering",3,IF(Responses!AK110="Kadang - Kadang",2,IF(Responses!AK110="Jarang",1,0)))))</f>
        <v>3</v>
      </c>
      <c r="M110" s="8">
        <f>IF(Responses!AL110="","",IF(Responses!AL110="Selalu",4,IF(Responses!AL110="Sering",3,IF(Responses!AL110="Kadang - Kadang",2,IF(Responses!AL110="Jarang",1,0)))))</f>
        <v>0</v>
      </c>
      <c r="N110" s="8">
        <f>IF(Responses!AM110="","",IF(Responses!AM110="Selalu",4,IF(Responses!AM110="Sering",3,IF(Responses!AM110="Kadang - Kadang",2,IF(Responses!AM110="Jarang",1,0)))))</f>
        <v>1</v>
      </c>
      <c r="O110" s="8">
        <f>IF(Responses!AN110="","",IF(Responses!AN110="Selalu",4,IF(Responses!AN110="Sering",3,IF(Responses!AN110="Kadang - Kadang",2,IF(Responses!AN110="Jarang",1,0)))))</f>
        <v>0</v>
      </c>
      <c r="P110" s="8">
        <f>IF(Responses!AO110="","",IF(Responses!AO110="Selalu",4,IF(Responses!AO110="Sering",3,IF(Responses!AO110="Kadang - Kadang",2,IF(Responses!AO110="Jarang",1,0)))))</f>
        <v>2</v>
      </c>
      <c r="Q110" s="8">
        <f>IF(Responses!AP110="","",IF(Responses!AP110="Selalu",4,IF(Responses!AP110="Sering",3,IF(Responses!AP110="Kadang - Kadang",2,IF(Responses!AP110="Jarang",1,0)))))</f>
        <v>0</v>
      </c>
      <c r="R110" s="8">
        <f>IF(Responses!AQ110="","",IF(Responses!AQ110="Selalu",4,IF(Responses!AQ110="Sering",3,IF(Responses!AQ110="Kadang - Kadang",2,IF(Responses!AQ110="Jarang",1,0)))))</f>
        <v>0</v>
      </c>
      <c r="S110" s="8">
        <f>IF(Responses!AR110="","",IF(Responses!AR110="Selalu",4,IF(Responses!AR110="Sering",3,IF(Responses!AR110="Kadang - Kadang",2,IF(Responses!AR110="Jarang",1,0)))))</f>
        <v>0</v>
      </c>
      <c r="T110" s="8">
        <f>IF(Responses!AS110="","",IF(Responses!AS110="Selalu",4,IF(Responses!AS110="Sering",3,IF(Responses!AS110="Kadang - Kadang",2,IF(Responses!AS110="Jarang",1,0)))))</f>
        <v>0</v>
      </c>
      <c r="U110" s="8">
        <f>IF(Responses!AT110="","",IF(Responses!AT110="Selalu",4,IF(Responses!AT110="Sering",3,IF(Responses!AT110="Kadang - Kadang",2,IF(Responses!AT110="Jarang",1,0)))))</f>
        <v>0</v>
      </c>
      <c r="V110" s="8">
        <f>IF(Responses!AU110="","",IF(Responses!AU110="Selalu",4,IF(Responses!AU110="Sering",3,IF(Responses!AU110="Kadang - Kadang",2,IF(Responses!AU110="Jarang",1,0)))))</f>
        <v>0</v>
      </c>
      <c r="W110" s="8">
        <f>IF(Responses!AV110="","",IF(Responses!AV110="Selalu",4,IF(Responses!AV110="Sering",3,IF(Responses!AV110="Kadang - Kadang",2,IF(Responses!AV110="Jarang",1,0)))))</f>
        <v>0</v>
      </c>
      <c r="X110" s="8">
        <f>IF(Responses!AW110="","",IF(Responses!AW110="Selalu",4,IF(Responses!AW110="Sering",3,IF(Responses!AW110="Kadang - Kadang",2,IF(Responses!AW110="Jarang",1,0)))))</f>
        <v>0</v>
      </c>
      <c r="Y110" s="20">
        <f t="shared" si="6"/>
        <v>7</v>
      </c>
      <c r="Z110" s="22" t="str">
        <f t="shared" si="7"/>
        <v>Tidak/Sedikit Kecanduan</v>
      </c>
    </row>
    <row r="111" spans="1:26" ht="24" customHeight="1" x14ac:dyDescent="0.3">
      <c r="A111" s="19" t="str">
        <f>Responses!A111</f>
        <v>dba5V7N</v>
      </c>
      <c r="B111" s="19" t="str">
        <f>Responses!B111</f>
        <v>WOeG5yP</v>
      </c>
      <c r="C111" s="19">
        <f>Responses!C111</f>
        <v>46136.128032407411</v>
      </c>
      <c r="D111" s="19" t="str">
        <f>Responses!D111</f>
        <v xml:space="preserve">Rafika Nur Istiqomah </v>
      </c>
      <c r="E111" s="19" t="str">
        <f>Responses!E111</f>
        <v>XI-4</v>
      </c>
      <c r="F111" s="19">
        <f>Responses!F111</f>
        <v>17</v>
      </c>
      <c r="G111" s="8">
        <f>IF(Responses!AF111="","",IF(Responses!AF111="Selalu",4,IF(Responses!AF111="Sering",3,IF(Responses!AF111="Kadang - Kadang",2,IF(Responses!AF111="Jarang",1,0)))))</f>
        <v>1</v>
      </c>
      <c r="H111" s="8">
        <f>IF(Responses!AG111="","",IF(Responses!AG111="Selalu",4,IF(Responses!AG111="Sering",3,IF(Responses!AG111="Kadang - Kadang",2,IF(Responses!AG111="Jarang",1,0)))))</f>
        <v>2</v>
      </c>
      <c r="I111" s="8">
        <f>IF(Responses!AH111="","",IF(Responses!AH111="Selalu",4,IF(Responses!AH111="Sering",3,IF(Responses!AH111="Kadang - Kadang",2,IF(Responses!AH111="Jarang",1,0)))))</f>
        <v>1</v>
      </c>
      <c r="J111" s="8">
        <f>IF(Responses!AI111="","",IF(Responses!AI111="Selalu",4,IF(Responses!AI111="Sering",3,IF(Responses!AI111="Kadang - Kadang",2,IF(Responses!AI111="Jarang",1,0)))))</f>
        <v>0</v>
      </c>
      <c r="K111" s="8">
        <f>IF(Responses!AJ111="","",IF(Responses!AJ111="Selalu",4,IF(Responses!AJ111="Sering",3,IF(Responses!AJ111="Kadang - Kadang",2,IF(Responses!AJ111="Jarang",1,0)))))</f>
        <v>0</v>
      </c>
      <c r="L111" s="8">
        <f>IF(Responses!AK111="","",IF(Responses!AK111="Selalu",4,IF(Responses!AK111="Sering",3,IF(Responses!AK111="Kadang - Kadang",2,IF(Responses!AK111="Jarang",1,0)))))</f>
        <v>0</v>
      </c>
      <c r="M111" s="8">
        <f>IF(Responses!AL111="","",IF(Responses!AL111="Selalu",4,IF(Responses!AL111="Sering",3,IF(Responses!AL111="Kadang - Kadang",2,IF(Responses!AL111="Jarang",1,0)))))</f>
        <v>0</v>
      </c>
      <c r="N111" s="8">
        <f>IF(Responses!AM111="","",IF(Responses!AM111="Selalu",4,IF(Responses!AM111="Sering",3,IF(Responses!AM111="Kadang - Kadang",2,IF(Responses!AM111="Jarang",1,0)))))</f>
        <v>1</v>
      </c>
      <c r="O111" s="8">
        <f>IF(Responses!AN111="","",IF(Responses!AN111="Selalu",4,IF(Responses!AN111="Sering",3,IF(Responses!AN111="Kadang - Kadang",2,IF(Responses!AN111="Jarang",1,0)))))</f>
        <v>1</v>
      </c>
      <c r="P111" s="8">
        <f>IF(Responses!AO111="","",IF(Responses!AO111="Selalu",4,IF(Responses!AO111="Sering",3,IF(Responses!AO111="Kadang - Kadang",2,IF(Responses!AO111="Jarang",1,0)))))</f>
        <v>1</v>
      </c>
      <c r="Q111" s="8">
        <f>IF(Responses!AP111="","",IF(Responses!AP111="Selalu",4,IF(Responses!AP111="Sering",3,IF(Responses!AP111="Kadang - Kadang",2,IF(Responses!AP111="Jarang",1,0)))))</f>
        <v>1</v>
      </c>
      <c r="R111" s="8">
        <f>IF(Responses!AQ111="","",IF(Responses!AQ111="Selalu",4,IF(Responses!AQ111="Sering",3,IF(Responses!AQ111="Kadang - Kadang",2,IF(Responses!AQ111="Jarang",1,0)))))</f>
        <v>1</v>
      </c>
      <c r="S111" s="8">
        <f>IF(Responses!AR111="","",IF(Responses!AR111="Selalu",4,IF(Responses!AR111="Sering",3,IF(Responses!AR111="Kadang - Kadang",2,IF(Responses!AR111="Jarang",1,0)))))</f>
        <v>0</v>
      </c>
      <c r="T111" s="8">
        <f>IF(Responses!AS111="","",IF(Responses!AS111="Selalu",4,IF(Responses!AS111="Sering",3,IF(Responses!AS111="Kadang - Kadang",2,IF(Responses!AS111="Jarang",1,0)))))</f>
        <v>1</v>
      </c>
      <c r="U111" s="8">
        <f>IF(Responses!AT111="","",IF(Responses!AT111="Selalu",4,IF(Responses!AT111="Sering",3,IF(Responses!AT111="Kadang - Kadang",2,IF(Responses!AT111="Jarang",1,0)))))</f>
        <v>0</v>
      </c>
      <c r="V111" s="8">
        <f>IF(Responses!AU111="","",IF(Responses!AU111="Selalu",4,IF(Responses!AU111="Sering",3,IF(Responses!AU111="Kadang - Kadang",2,IF(Responses!AU111="Jarang",1,0)))))</f>
        <v>1</v>
      </c>
      <c r="W111" s="8">
        <f>IF(Responses!AV111="","",IF(Responses!AV111="Selalu",4,IF(Responses!AV111="Sering",3,IF(Responses!AV111="Kadang - Kadang",2,IF(Responses!AV111="Jarang",1,0)))))</f>
        <v>0</v>
      </c>
      <c r="X111" s="8">
        <f>IF(Responses!AW111="","",IF(Responses!AW111="Selalu",4,IF(Responses!AW111="Sering",3,IF(Responses!AW111="Kadang - Kadang",2,IF(Responses!AW111="Jarang",1,0)))))</f>
        <v>0</v>
      </c>
      <c r="Y111" s="20">
        <f t="shared" si="6"/>
        <v>11</v>
      </c>
      <c r="Z111" s="22" t="str">
        <f t="shared" si="7"/>
        <v>Tidak/Sedikit Kecanduan</v>
      </c>
    </row>
    <row r="112" spans="1:26" ht="24" customHeight="1" x14ac:dyDescent="0.3">
      <c r="A112" s="19" t="str">
        <f>Responses!A112</f>
        <v>1Wd1yAg</v>
      </c>
      <c r="B112" s="19" t="str">
        <f>Responses!B112</f>
        <v>D4XrNqE</v>
      </c>
      <c r="C112" s="19">
        <f>Responses!C112</f>
        <v>46136.128067129634</v>
      </c>
      <c r="D112" s="19" t="str">
        <f>Responses!D112</f>
        <v xml:space="preserve">Nailal Izzah Ramadhani </v>
      </c>
      <c r="E112" s="19" t="str">
        <f>Responses!E112</f>
        <v>XI-4</v>
      </c>
      <c r="F112" s="19">
        <f>Responses!F112</f>
        <v>17</v>
      </c>
      <c r="G112" s="8">
        <f>IF(Responses!AF112="","",IF(Responses!AF112="Selalu",4,IF(Responses!AF112="Sering",3,IF(Responses!AF112="Kadang - Kadang",2,IF(Responses!AF112="Jarang",1,0)))))</f>
        <v>0</v>
      </c>
      <c r="H112" s="8">
        <f>IF(Responses!AG112="","",IF(Responses!AG112="Selalu",4,IF(Responses!AG112="Sering",3,IF(Responses!AG112="Kadang - Kadang",2,IF(Responses!AG112="Jarang",1,0)))))</f>
        <v>1</v>
      </c>
      <c r="I112" s="8">
        <f>IF(Responses!AH112="","",IF(Responses!AH112="Selalu",4,IF(Responses!AH112="Sering",3,IF(Responses!AH112="Kadang - Kadang",2,IF(Responses!AH112="Jarang",1,0)))))</f>
        <v>4</v>
      </c>
      <c r="J112" s="8">
        <f>IF(Responses!AI112="","",IF(Responses!AI112="Selalu",4,IF(Responses!AI112="Sering",3,IF(Responses!AI112="Kadang - Kadang",2,IF(Responses!AI112="Jarang",1,0)))))</f>
        <v>2</v>
      </c>
      <c r="K112" s="8">
        <f>IF(Responses!AJ112="","",IF(Responses!AJ112="Selalu",4,IF(Responses!AJ112="Sering",3,IF(Responses!AJ112="Kadang - Kadang",2,IF(Responses!AJ112="Jarang",1,0)))))</f>
        <v>3</v>
      </c>
      <c r="L112" s="8">
        <f>IF(Responses!AK112="","",IF(Responses!AK112="Selalu",4,IF(Responses!AK112="Sering",3,IF(Responses!AK112="Kadang - Kadang",2,IF(Responses!AK112="Jarang",1,0)))))</f>
        <v>0</v>
      </c>
      <c r="M112" s="8">
        <f>IF(Responses!AL112="","",IF(Responses!AL112="Selalu",4,IF(Responses!AL112="Sering",3,IF(Responses!AL112="Kadang - Kadang",2,IF(Responses!AL112="Jarang",1,0)))))</f>
        <v>1</v>
      </c>
      <c r="N112" s="8">
        <f>IF(Responses!AM112="","",IF(Responses!AM112="Selalu",4,IF(Responses!AM112="Sering",3,IF(Responses!AM112="Kadang - Kadang",2,IF(Responses!AM112="Jarang",1,0)))))</f>
        <v>4</v>
      </c>
      <c r="O112" s="8">
        <f>IF(Responses!AN112="","",IF(Responses!AN112="Selalu",4,IF(Responses!AN112="Sering",3,IF(Responses!AN112="Kadang - Kadang",2,IF(Responses!AN112="Jarang",1,0)))))</f>
        <v>0</v>
      </c>
      <c r="P112" s="8">
        <f>IF(Responses!AO112="","",IF(Responses!AO112="Selalu",4,IF(Responses!AO112="Sering",3,IF(Responses!AO112="Kadang - Kadang",2,IF(Responses!AO112="Jarang",1,0)))))</f>
        <v>4</v>
      </c>
      <c r="Q112" s="8">
        <f>IF(Responses!AP112="","",IF(Responses!AP112="Selalu",4,IF(Responses!AP112="Sering",3,IF(Responses!AP112="Kadang - Kadang",2,IF(Responses!AP112="Jarang",1,0)))))</f>
        <v>4</v>
      </c>
      <c r="R112" s="8">
        <f>IF(Responses!AQ112="","",IF(Responses!AQ112="Selalu",4,IF(Responses!AQ112="Sering",3,IF(Responses!AQ112="Kadang - Kadang",2,IF(Responses!AQ112="Jarang",1,0)))))</f>
        <v>4</v>
      </c>
      <c r="S112" s="8">
        <f>IF(Responses!AR112="","",IF(Responses!AR112="Selalu",4,IF(Responses!AR112="Sering",3,IF(Responses!AR112="Kadang - Kadang",2,IF(Responses!AR112="Jarang",1,0)))))</f>
        <v>2</v>
      </c>
      <c r="T112" s="8">
        <f>IF(Responses!AS112="","",IF(Responses!AS112="Selalu",4,IF(Responses!AS112="Sering",3,IF(Responses!AS112="Kadang - Kadang",2,IF(Responses!AS112="Jarang",1,0)))))</f>
        <v>2</v>
      </c>
      <c r="U112" s="8">
        <f>IF(Responses!AT112="","",IF(Responses!AT112="Selalu",4,IF(Responses!AT112="Sering",3,IF(Responses!AT112="Kadang - Kadang",2,IF(Responses!AT112="Jarang",1,0)))))</f>
        <v>3</v>
      </c>
      <c r="V112" s="8">
        <f>IF(Responses!AU112="","",IF(Responses!AU112="Selalu",4,IF(Responses!AU112="Sering",3,IF(Responses!AU112="Kadang - Kadang",2,IF(Responses!AU112="Jarang",1,0)))))</f>
        <v>4</v>
      </c>
      <c r="W112" s="8">
        <f>IF(Responses!AV112="","",IF(Responses!AV112="Selalu",4,IF(Responses!AV112="Sering",3,IF(Responses!AV112="Kadang - Kadang",2,IF(Responses!AV112="Jarang",1,0)))))</f>
        <v>0</v>
      </c>
      <c r="X112" s="8">
        <f>IF(Responses!AW112="","",IF(Responses!AW112="Selalu",4,IF(Responses!AW112="Sering",3,IF(Responses!AW112="Kadang - Kadang",2,IF(Responses!AW112="Jarang",1,0)))))</f>
        <v>3</v>
      </c>
      <c r="Y112" s="20">
        <f t="shared" si="6"/>
        <v>41</v>
      </c>
      <c r="Z112" s="22" t="str">
        <f t="shared" si="7"/>
        <v>Kemungkinan Kecanduan</v>
      </c>
    </row>
    <row r="113" spans="1:26" ht="24" customHeight="1" x14ac:dyDescent="0.3">
      <c r="A113" s="19" t="str">
        <f>Responses!A113</f>
        <v>Nqle970</v>
      </c>
      <c r="B113" s="19" t="str">
        <f>Responses!B113</f>
        <v>b52Ble0</v>
      </c>
      <c r="C113" s="19">
        <f>Responses!C113</f>
        <v>46136.128298611111</v>
      </c>
      <c r="D113" s="19" t="str">
        <f>Responses!D113</f>
        <v>Immanuel Jacob</v>
      </c>
      <c r="E113" s="19" t="str">
        <f>Responses!E113</f>
        <v>XI-4</v>
      </c>
      <c r="F113" s="19">
        <f>Responses!F113</f>
        <v>16</v>
      </c>
      <c r="G113" s="8">
        <f>IF(Responses!AF113="","",IF(Responses!AF113="Selalu",4,IF(Responses!AF113="Sering",3,IF(Responses!AF113="Kadang - Kadang",2,IF(Responses!AF113="Jarang",1,0)))))</f>
        <v>1</v>
      </c>
      <c r="H113" s="8">
        <f>IF(Responses!AG113="","",IF(Responses!AG113="Selalu",4,IF(Responses!AG113="Sering",3,IF(Responses!AG113="Kadang - Kadang",2,IF(Responses!AG113="Jarang",1,0)))))</f>
        <v>1</v>
      </c>
      <c r="I113" s="8">
        <f>IF(Responses!AH113="","",IF(Responses!AH113="Selalu",4,IF(Responses!AH113="Sering",3,IF(Responses!AH113="Kadang - Kadang",2,IF(Responses!AH113="Jarang",1,0)))))</f>
        <v>1</v>
      </c>
      <c r="J113" s="8">
        <f>IF(Responses!AI113="","",IF(Responses!AI113="Selalu",4,IF(Responses!AI113="Sering",3,IF(Responses!AI113="Kadang - Kadang",2,IF(Responses!AI113="Jarang",1,0)))))</f>
        <v>1</v>
      </c>
      <c r="K113" s="8">
        <f>IF(Responses!AJ113="","",IF(Responses!AJ113="Selalu",4,IF(Responses!AJ113="Sering",3,IF(Responses!AJ113="Kadang - Kadang",2,IF(Responses!AJ113="Jarang",1,0)))))</f>
        <v>1</v>
      </c>
      <c r="L113" s="8">
        <f>IF(Responses!AK113="","",IF(Responses!AK113="Selalu",4,IF(Responses!AK113="Sering",3,IF(Responses!AK113="Kadang - Kadang",2,IF(Responses!AK113="Jarang",1,0)))))</f>
        <v>1</v>
      </c>
      <c r="M113" s="8">
        <f>IF(Responses!AL113="","",IF(Responses!AL113="Selalu",4,IF(Responses!AL113="Sering",3,IF(Responses!AL113="Kadang - Kadang",2,IF(Responses!AL113="Jarang",1,0)))))</f>
        <v>1</v>
      </c>
      <c r="N113" s="8">
        <f>IF(Responses!AM113="","",IF(Responses!AM113="Selalu",4,IF(Responses!AM113="Sering",3,IF(Responses!AM113="Kadang - Kadang",2,IF(Responses!AM113="Jarang",1,0)))))</f>
        <v>1</v>
      </c>
      <c r="O113" s="8">
        <f>IF(Responses!AN113="","",IF(Responses!AN113="Selalu",4,IF(Responses!AN113="Sering",3,IF(Responses!AN113="Kadang - Kadang",2,IF(Responses!AN113="Jarang",1,0)))))</f>
        <v>1</v>
      </c>
      <c r="P113" s="8">
        <f>IF(Responses!AO113="","",IF(Responses!AO113="Selalu",4,IF(Responses!AO113="Sering",3,IF(Responses!AO113="Kadang - Kadang",2,IF(Responses!AO113="Jarang",1,0)))))</f>
        <v>1</v>
      </c>
      <c r="Q113" s="8">
        <f>IF(Responses!AP113="","",IF(Responses!AP113="Selalu",4,IF(Responses!AP113="Sering",3,IF(Responses!AP113="Kadang - Kadang",2,IF(Responses!AP113="Jarang",1,0)))))</f>
        <v>1</v>
      </c>
      <c r="R113" s="8">
        <f>IF(Responses!AQ113="","",IF(Responses!AQ113="Selalu",4,IF(Responses!AQ113="Sering",3,IF(Responses!AQ113="Kadang - Kadang",2,IF(Responses!AQ113="Jarang",1,0)))))</f>
        <v>1</v>
      </c>
      <c r="S113" s="8">
        <f>IF(Responses!AR113="","",IF(Responses!AR113="Selalu",4,IF(Responses!AR113="Sering",3,IF(Responses!AR113="Kadang - Kadang",2,IF(Responses!AR113="Jarang",1,0)))))</f>
        <v>0</v>
      </c>
      <c r="T113" s="8">
        <f>IF(Responses!AS113="","",IF(Responses!AS113="Selalu",4,IF(Responses!AS113="Sering",3,IF(Responses!AS113="Kadang - Kadang",2,IF(Responses!AS113="Jarang",1,0)))))</f>
        <v>1</v>
      </c>
      <c r="U113" s="8">
        <f>IF(Responses!AT113="","",IF(Responses!AT113="Selalu",4,IF(Responses!AT113="Sering",3,IF(Responses!AT113="Kadang - Kadang",2,IF(Responses!AT113="Jarang",1,0)))))</f>
        <v>0</v>
      </c>
      <c r="V113" s="8">
        <f>IF(Responses!AU113="","",IF(Responses!AU113="Selalu",4,IF(Responses!AU113="Sering",3,IF(Responses!AU113="Kadang - Kadang",2,IF(Responses!AU113="Jarang",1,0)))))</f>
        <v>1</v>
      </c>
      <c r="W113" s="8">
        <f>IF(Responses!AV113="","",IF(Responses!AV113="Selalu",4,IF(Responses!AV113="Sering",3,IF(Responses!AV113="Kadang - Kadang",2,IF(Responses!AV113="Jarang",1,0)))))</f>
        <v>1</v>
      </c>
      <c r="X113" s="8">
        <f>IF(Responses!AW113="","",IF(Responses!AW113="Selalu",4,IF(Responses!AW113="Sering",3,IF(Responses!AW113="Kadang - Kadang",2,IF(Responses!AW113="Jarang",1,0)))))</f>
        <v>1</v>
      </c>
      <c r="Y113" s="20">
        <f t="shared" si="6"/>
        <v>16</v>
      </c>
      <c r="Z113" s="22" t="str">
        <f t="shared" si="7"/>
        <v>Tidak/Sedikit Kecanduan</v>
      </c>
    </row>
    <row r="114" spans="1:26" x14ac:dyDescent="0.3">
      <c r="A114" s="19" t="str">
        <f>Responses!A114</f>
        <v>rDaxbKN</v>
      </c>
      <c r="B114" s="19" t="str">
        <f>Responses!B114</f>
        <v>ja0dBMJ</v>
      </c>
      <c r="C114" s="19">
        <f>Responses!C114</f>
        <v>46136.128333333327</v>
      </c>
      <c r="D114" s="19" t="str">
        <f>Responses!D114</f>
        <v>Muhammad Razan Ghani Syamputra</v>
      </c>
      <c r="E114" s="19" t="str">
        <f>Responses!E114</f>
        <v>XI-4</v>
      </c>
      <c r="F114" s="19">
        <f>Responses!F114</f>
        <v>17</v>
      </c>
      <c r="G114" s="8">
        <f>IF(Responses!AF114="","",IF(Responses!AF114="Selalu",4,IF(Responses!AF114="Sering",3,IF(Responses!AF114="Kadang - Kadang",2,IF(Responses!AF114="Jarang",1,0)))))</f>
        <v>2</v>
      </c>
      <c r="H114" s="8">
        <f>IF(Responses!AG114="","",IF(Responses!AG114="Selalu",4,IF(Responses!AG114="Sering",3,IF(Responses!AG114="Kadang - Kadang",2,IF(Responses!AG114="Jarang",1,0)))))</f>
        <v>2</v>
      </c>
      <c r="I114" s="8">
        <f>IF(Responses!AH114="","",IF(Responses!AH114="Selalu",4,IF(Responses!AH114="Sering",3,IF(Responses!AH114="Kadang - Kadang",2,IF(Responses!AH114="Jarang",1,0)))))</f>
        <v>2</v>
      </c>
      <c r="J114" s="8">
        <f>IF(Responses!AI114="","",IF(Responses!AI114="Selalu",4,IF(Responses!AI114="Sering",3,IF(Responses!AI114="Kadang - Kadang",2,IF(Responses!AI114="Jarang",1,0)))))</f>
        <v>0</v>
      </c>
      <c r="K114" s="8">
        <f>IF(Responses!AJ114="","",IF(Responses!AJ114="Selalu",4,IF(Responses!AJ114="Sering",3,IF(Responses!AJ114="Kadang - Kadang",2,IF(Responses!AJ114="Jarang",1,0)))))</f>
        <v>0</v>
      </c>
      <c r="L114" s="8">
        <f>IF(Responses!AK114="","",IF(Responses!AK114="Selalu",4,IF(Responses!AK114="Sering",3,IF(Responses!AK114="Kadang - Kadang",2,IF(Responses!AK114="Jarang",1,0)))))</f>
        <v>1</v>
      </c>
      <c r="M114" s="8">
        <f>IF(Responses!AL114="","",IF(Responses!AL114="Selalu",4,IF(Responses!AL114="Sering",3,IF(Responses!AL114="Kadang - Kadang",2,IF(Responses!AL114="Jarang",1,0)))))</f>
        <v>1</v>
      </c>
      <c r="N114" s="8">
        <f>IF(Responses!AM114="","",IF(Responses!AM114="Selalu",4,IF(Responses!AM114="Sering",3,IF(Responses!AM114="Kadang - Kadang",2,IF(Responses!AM114="Jarang",1,0)))))</f>
        <v>3</v>
      </c>
      <c r="O114" s="8">
        <f>IF(Responses!AN114="","",IF(Responses!AN114="Selalu",4,IF(Responses!AN114="Sering",3,IF(Responses!AN114="Kadang - Kadang",2,IF(Responses!AN114="Jarang",1,0)))))</f>
        <v>3</v>
      </c>
      <c r="P114" s="8">
        <f>IF(Responses!AO114="","",IF(Responses!AO114="Selalu",4,IF(Responses!AO114="Sering",3,IF(Responses!AO114="Kadang - Kadang",2,IF(Responses!AO114="Jarang",1,0)))))</f>
        <v>4</v>
      </c>
      <c r="Q114" s="8">
        <f>IF(Responses!AP114="","",IF(Responses!AP114="Selalu",4,IF(Responses!AP114="Sering",3,IF(Responses!AP114="Kadang - Kadang",2,IF(Responses!AP114="Jarang",1,0)))))</f>
        <v>0</v>
      </c>
      <c r="R114" s="8">
        <f>IF(Responses!AQ114="","",IF(Responses!AQ114="Selalu",4,IF(Responses!AQ114="Sering",3,IF(Responses!AQ114="Kadang - Kadang",2,IF(Responses!AQ114="Jarang",1,0)))))</f>
        <v>1</v>
      </c>
      <c r="S114" s="8">
        <f>IF(Responses!AR114="","",IF(Responses!AR114="Selalu",4,IF(Responses!AR114="Sering",3,IF(Responses!AR114="Kadang - Kadang",2,IF(Responses!AR114="Jarang",1,0)))))</f>
        <v>2</v>
      </c>
      <c r="T114" s="8">
        <f>IF(Responses!AS114="","",IF(Responses!AS114="Selalu",4,IF(Responses!AS114="Sering",3,IF(Responses!AS114="Kadang - Kadang",2,IF(Responses!AS114="Jarang",1,0)))))</f>
        <v>3</v>
      </c>
      <c r="U114" s="8">
        <f>IF(Responses!AT114="","",IF(Responses!AT114="Selalu",4,IF(Responses!AT114="Sering",3,IF(Responses!AT114="Kadang - Kadang",2,IF(Responses!AT114="Jarang",1,0)))))</f>
        <v>2</v>
      </c>
      <c r="V114" s="8">
        <f>IF(Responses!AU114="","",IF(Responses!AU114="Selalu",4,IF(Responses!AU114="Sering",3,IF(Responses!AU114="Kadang - Kadang",2,IF(Responses!AU114="Jarang",1,0)))))</f>
        <v>1</v>
      </c>
      <c r="W114" s="8">
        <f>IF(Responses!AV114="","",IF(Responses!AV114="Selalu",4,IF(Responses!AV114="Sering",3,IF(Responses!AV114="Kadang - Kadang",2,IF(Responses!AV114="Jarang",1,0)))))</f>
        <v>2</v>
      </c>
      <c r="X114" s="8">
        <f>IF(Responses!AW114="","",IF(Responses!AW114="Selalu",4,IF(Responses!AW114="Sering",3,IF(Responses!AW114="Kadang - Kadang",2,IF(Responses!AW114="Jarang",1,0)))))</f>
        <v>4</v>
      </c>
      <c r="Y114" s="20">
        <f t="shared" si="6"/>
        <v>33</v>
      </c>
      <c r="Z114" s="22" t="str">
        <f t="shared" si="7"/>
        <v>Kecanduan Borderline</v>
      </c>
    </row>
    <row r="115" spans="1:26" ht="24" customHeight="1" x14ac:dyDescent="0.3">
      <c r="A115" s="19" t="str">
        <f>Responses!A115</f>
        <v>VpQka8l</v>
      </c>
      <c r="B115" s="19" t="str">
        <f>Responses!B115</f>
        <v>ob0rOyV</v>
      </c>
      <c r="C115" s="19">
        <f>Responses!C115</f>
        <v>46136.128750000003</v>
      </c>
      <c r="D115" s="19" t="str">
        <f>Responses!D115</f>
        <v>Rizky Widiantoro</v>
      </c>
      <c r="E115" s="19" t="str">
        <f>Responses!E115</f>
        <v>XI-4</v>
      </c>
      <c r="F115" s="19">
        <f>Responses!F115</f>
        <v>17</v>
      </c>
      <c r="G115" s="8">
        <f>IF(Responses!AF115="","",IF(Responses!AF115="Selalu",4,IF(Responses!AF115="Sering",3,IF(Responses!AF115="Kadang - Kadang",2,IF(Responses!AF115="Jarang",1,0)))))</f>
        <v>2</v>
      </c>
      <c r="H115" s="8">
        <f>IF(Responses!AG115="","",IF(Responses!AG115="Selalu",4,IF(Responses!AG115="Sering",3,IF(Responses!AG115="Kadang - Kadang",2,IF(Responses!AG115="Jarang",1,0)))))</f>
        <v>1</v>
      </c>
      <c r="I115" s="8">
        <f>IF(Responses!AH115="","",IF(Responses!AH115="Selalu",4,IF(Responses!AH115="Sering",3,IF(Responses!AH115="Kadang - Kadang",2,IF(Responses!AH115="Jarang",1,0)))))</f>
        <v>1</v>
      </c>
      <c r="J115" s="8">
        <f>IF(Responses!AI115="","",IF(Responses!AI115="Selalu",4,IF(Responses!AI115="Sering",3,IF(Responses!AI115="Kadang - Kadang",2,IF(Responses!AI115="Jarang",1,0)))))</f>
        <v>0</v>
      </c>
      <c r="K115" s="8">
        <f>IF(Responses!AJ115="","",IF(Responses!AJ115="Selalu",4,IF(Responses!AJ115="Sering",3,IF(Responses!AJ115="Kadang - Kadang",2,IF(Responses!AJ115="Jarang",1,0)))))</f>
        <v>1</v>
      </c>
      <c r="L115" s="8">
        <f>IF(Responses!AK115="","",IF(Responses!AK115="Selalu",4,IF(Responses!AK115="Sering",3,IF(Responses!AK115="Kadang - Kadang",2,IF(Responses!AK115="Jarang",1,0)))))</f>
        <v>0</v>
      </c>
      <c r="M115" s="8">
        <f>IF(Responses!AL115="","",IF(Responses!AL115="Selalu",4,IF(Responses!AL115="Sering",3,IF(Responses!AL115="Kadang - Kadang",2,IF(Responses!AL115="Jarang",1,0)))))</f>
        <v>0</v>
      </c>
      <c r="N115" s="8">
        <f>IF(Responses!AM115="","",IF(Responses!AM115="Selalu",4,IF(Responses!AM115="Sering",3,IF(Responses!AM115="Kadang - Kadang",2,IF(Responses!AM115="Jarang",1,0)))))</f>
        <v>0</v>
      </c>
      <c r="O115" s="8">
        <f>IF(Responses!AN115="","",IF(Responses!AN115="Selalu",4,IF(Responses!AN115="Sering",3,IF(Responses!AN115="Kadang - Kadang",2,IF(Responses!AN115="Jarang",1,0)))))</f>
        <v>1</v>
      </c>
      <c r="P115" s="8">
        <f>IF(Responses!AO115="","",IF(Responses!AO115="Selalu",4,IF(Responses!AO115="Sering",3,IF(Responses!AO115="Kadang - Kadang",2,IF(Responses!AO115="Jarang",1,0)))))</f>
        <v>1</v>
      </c>
      <c r="Q115" s="8">
        <f>IF(Responses!AP115="","",IF(Responses!AP115="Selalu",4,IF(Responses!AP115="Sering",3,IF(Responses!AP115="Kadang - Kadang",2,IF(Responses!AP115="Jarang",1,0)))))</f>
        <v>1</v>
      </c>
      <c r="R115" s="8">
        <f>IF(Responses!AQ115="","",IF(Responses!AQ115="Selalu",4,IF(Responses!AQ115="Sering",3,IF(Responses!AQ115="Kadang - Kadang",2,IF(Responses!AQ115="Jarang",1,0)))))</f>
        <v>1</v>
      </c>
      <c r="S115" s="8">
        <f>IF(Responses!AR115="","",IF(Responses!AR115="Selalu",4,IF(Responses!AR115="Sering",3,IF(Responses!AR115="Kadang - Kadang",2,IF(Responses!AR115="Jarang",1,0)))))</f>
        <v>0</v>
      </c>
      <c r="T115" s="8">
        <f>IF(Responses!AS115="","",IF(Responses!AS115="Selalu",4,IF(Responses!AS115="Sering",3,IF(Responses!AS115="Kadang - Kadang",2,IF(Responses!AS115="Jarang",1,0)))))</f>
        <v>1</v>
      </c>
      <c r="U115" s="8">
        <f>IF(Responses!AT115="","",IF(Responses!AT115="Selalu",4,IF(Responses!AT115="Sering",3,IF(Responses!AT115="Kadang - Kadang",2,IF(Responses!AT115="Jarang",1,0)))))</f>
        <v>0</v>
      </c>
      <c r="V115" s="8">
        <f>IF(Responses!AU115="","",IF(Responses!AU115="Selalu",4,IF(Responses!AU115="Sering",3,IF(Responses!AU115="Kadang - Kadang",2,IF(Responses!AU115="Jarang",1,0)))))</f>
        <v>1</v>
      </c>
      <c r="W115" s="8">
        <f>IF(Responses!AV115="","",IF(Responses!AV115="Selalu",4,IF(Responses!AV115="Sering",3,IF(Responses!AV115="Kadang - Kadang",2,IF(Responses!AV115="Jarang",1,0)))))</f>
        <v>0</v>
      </c>
      <c r="X115" s="8">
        <f>IF(Responses!AW115="","",IF(Responses!AW115="Selalu",4,IF(Responses!AW115="Sering",3,IF(Responses!AW115="Kadang - Kadang",2,IF(Responses!AW115="Jarang",1,0)))))</f>
        <v>1</v>
      </c>
      <c r="Y115" s="20">
        <f t="shared" si="6"/>
        <v>12</v>
      </c>
      <c r="Z115" s="22" t="str">
        <f t="shared" si="7"/>
        <v>Tidak/Sedikit Kecanduan</v>
      </c>
    </row>
    <row r="116" spans="1:26" ht="24" customHeight="1" x14ac:dyDescent="0.3">
      <c r="A116" s="19" t="str">
        <f>Responses!A116</f>
        <v>rDaxQQM</v>
      </c>
      <c r="B116" s="19" t="str">
        <f>Responses!B116</f>
        <v>1AbZEyp</v>
      </c>
      <c r="C116" s="19">
        <f>Responses!C116</f>
        <v>46136.128842592603</v>
      </c>
      <c r="D116" s="19" t="str">
        <f>Responses!D116</f>
        <v>Salsabila Fauziah Qud</v>
      </c>
      <c r="E116" s="19" t="str">
        <f>Responses!E116</f>
        <v>XI-4</v>
      </c>
      <c r="F116" s="19">
        <f>Responses!F116</f>
        <v>16</v>
      </c>
      <c r="G116" s="8">
        <f>IF(Responses!AF116="","",IF(Responses!AF116="Selalu",4,IF(Responses!AF116="Sering",3,IF(Responses!AF116="Kadang - Kadang",2,IF(Responses!AF116="Jarang",1,0)))))</f>
        <v>2</v>
      </c>
      <c r="H116" s="8">
        <f>IF(Responses!AG116="","",IF(Responses!AG116="Selalu",4,IF(Responses!AG116="Sering",3,IF(Responses!AG116="Kadang - Kadang",2,IF(Responses!AG116="Jarang",1,0)))))</f>
        <v>1</v>
      </c>
      <c r="I116" s="8">
        <f>IF(Responses!AH116="","",IF(Responses!AH116="Selalu",4,IF(Responses!AH116="Sering",3,IF(Responses!AH116="Kadang - Kadang",2,IF(Responses!AH116="Jarang",1,0)))))</f>
        <v>1</v>
      </c>
      <c r="J116" s="8">
        <f>IF(Responses!AI116="","",IF(Responses!AI116="Selalu",4,IF(Responses!AI116="Sering",3,IF(Responses!AI116="Kadang - Kadang",2,IF(Responses!AI116="Jarang",1,0)))))</f>
        <v>0</v>
      </c>
      <c r="K116" s="8">
        <f>IF(Responses!AJ116="","",IF(Responses!AJ116="Selalu",4,IF(Responses!AJ116="Sering",3,IF(Responses!AJ116="Kadang - Kadang",2,IF(Responses!AJ116="Jarang",1,0)))))</f>
        <v>0</v>
      </c>
      <c r="L116" s="8">
        <f>IF(Responses!AK116="","",IF(Responses!AK116="Selalu",4,IF(Responses!AK116="Sering",3,IF(Responses!AK116="Kadang - Kadang",2,IF(Responses!AK116="Jarang",1,0)))))</f>
        <v>0</v>
      </c>
      <c r="M116" s="8">
        <f>IF(Responses!AL116="","",IF(Responses!AL116="Selalu",4,IF(Responses!AL116="Sering",3,IF(Responses!AL116="Kadang - Kadang",2,IF(Responses!AL116="Jarang",1,0)))))</f>
        <v>0</v>
      </c>
      <c r="N116" s="8">
        <f>IF(Responses!AM116="","",IF(Responses!AM116="Selalu",4,IF(Responses!AM116="Sering",3,IF(Responses!AM116="Kadang - Kadang",2,IF(Responses!AM116="Jarang",1,0)))))</f>
        <v>2</v>
      </c>
      <c r="O116" s="8">
        <f>IF(Responses!AN116="","",IF(Responses!AN116="Selalu",4,IF(Responses!AN116="Sering",3,IF(Responses!AN116="Kadang - Kadang",2,IF(Responses!AN116="Jarang",1,0)))))</f>
        <v>2</v>
      </c>
      <c r="P116" s="8">
        <f>IF(Responses!AO116="","",IF(Responses!AO116="Selalu",4,IF(Responses!AO116="Sering",3,IF(Responses!AO116="Kadang - Kadang",2,IF(Responses!AO116="Jarang",1,0)))))</f>
        <v>2</v>
      </c>
      <c r="Q116" s="8">
        <f>IF(Responses!AP116="","",IF(Responses!AP116="Selalu",4,IF(Responses!AP116="Sering",3,IF(Responses!AP116="Kadang - Kadang",2,IF(Responses!AP116="Jarang",1,0)))))</f>
        <v>0</v>
      </c>
      <c r="R116" s="8">
        <f>IF(Responses!AQ116="","",IF(Responses!AQ116="Selalu",4,IF(Responses!AQ116="Sering",3,IF(Responses!AQ116="Kadang - Kadang",2,IF(Responses!AQ116="Jarang",1,0)))))</f>
        <v>2</v>
      </c>
      <c r="S116" s="8">
        <f>IF(Responses!AR116="","",IF(Responses!AR116="Selalu",4,IF(Responses!AR116="Sering",3,IF(Responses!AR116="Kadang - Kadang",2,IF(Responses!AR116="Jarang",1,0)))))</f>
        <v>1</v>
      </c>
      <c r="T116" s="8">
        <f>IF(Responses!AS116="","",IF(Responses!AS116="Selalu",4,IF(Responses!AS116="Sering",3,IF(Responses!AS116="Kadang - Kadang",2,IF(Responses!AS116="Jarang",1,0)))))</f>
        <v>1</v>
      </c>
      <c r="U116" s="8">
        <f>IF(Responses!AT116="","",IF(Responses!AT116="Selalu",4,IF(Responses!AT116="Sering",3,IF(Responses!AT116="Kadang - Kadang",2,IF(Responses!AT116="Jarang",1,0)))))</f>
        <v>0</v>
      </c>
      <c r="V116" s="8">
        <f>IF(Responses!AU116="","",IF(Responses!AU116="Selalu",4,IF(Responses!AU116="Sering",3,IF(Responses!AU116="Kadang - Kadang",2,IF(Responses!AU116="Jarang",1,0)))))</f>
        <v>2</v>
      </c>
      <c r="W116" s="8">
        <f>IF(Responses!AV116="","",IF(Responses!AV116="Selalu",4,IF(Responses!AV116="Sering",3,IF(Responses!AV116="Kadang - Kadang",2,IF(Responses!AV116="Jarang",1,0)))))</f>
        <v>0</v>
      </c>
      <c r="X116" s="8">
        <f>IF(Responses!AW116="","",IF(Responses!AW116="Selalu",4,IF(Responses!AW116="Sering",3,IF(Responses!AW116="Kadang - Kadang",2,IF(Responses!AW116="Jarang",1,0)))))</f>
        <v>2</v>
      </c>
      <c r="Y116" s="20">
        <f t="shared" si="6"/>
        <v>18</v>
      </c>
      <c r="Z116" s="22" t="str">
        <f t="shared" si="7"/>
        <v>Tidak/Sedikit Kecanduan</v>
      </c>
    </row>
    <row r="117" spans="1:26" x14ac:dyDescent="0.3">
      <c r="A117" s="19" t="str">
        <f>Responses!A117</f>
        <v>6DjX0Re</v>
      </c>
      <c r="B117" s="19" t="str">
        <f>Responses!B117</f>
        <v>eqN1L6e</v>
      </c>
      <c r="C117" s="19">
        <f>Responses!C117</f>
        <v>46136.128969907397</v>
      </c>
      <c r="D117" s="19" t="str">
        <f>Responses!D117</f>
        <v xml:space="preserve">Kevin Arya Dhana </v>
      </c>
      <c r="E117" s="19" t="str">
        <f>Responses!E117</f>
        <v>XI-4</v>
      </c>
      <c r="F117" s="19">
        <f>Responses!F117</f>
        <v>17</v>
      </c>
      <c r="G117" s="8">
        <f>IF(Responses!AF117="","",IF(Responses!AF117="Selalu",4,IF(Responses!AF117="Sering",3,IF(Responses!AF117="Kadang - Kadang",2,IF(Responses!AF117="Jarang",1,0)))))</f>
        <v>2</v>
      </c>
      <c r="H117" s="8">
        <f>IF(Responses!AG117="","",IF(Responses!AG117="Selalu",4,IF(Responses!AG117="Sering",3,IF(Responses!AG117="Kadang - Kadang",2,IF(Responses!AG117="Jarang",1,0)))))</f>
        <v>2</v>
      </c>
      <c r="I117" s="8">
        <f>IF(Responses!AH117="","",IF(Responses!AH117="Selalu",4,IF(Responses!AH117="Sering",3,IF(Responses!AH117="Kadang - Kadang",2,IF(Responses!AH117="Jarang",1,0)))))</f>
        <v>2</v>
      </c>
      <c r="J117" s="8">
        <f>IF(Responses!AI117="","",IF(Responses!AI117="Selalu",4,IF(Responses!AI117="Sering",3,IF(Responses!AI117="Kadang - Kadang",2,IF(Responses!AI117="Jarang",1,0)))))</f>
        <v>2</v>
      </c>
      <c r="K117" s="8">
        <f>IF(Responses!AJ117="","",IF(Responses!AJ117="Selalu",4,IF(Responses!AJ117="Sering",3,IF(Responses!AJ117="Kadang - Kadang",2,IF(Responses!AJ117="Jarang",1,0)))))</f>
        <v>2</v>
      </c>
      <c r="L117" s="8">
        <f>IF(Responses!AK117="","",IF(Responses!AK117="Selalu",4,IF(Responses!AK117="Sering",3,IF(Responses!AK117="Kadang - Kadang",2,IF(Responses!AK117="Jarang",1,0)))))</f>
        <v>2</v>
      </c>
      <c r="M117" s="8">
        <f>IF(Responses!AL117="","",IF(Responses!AL117="Selalu",4,IF(Responses!AL117="Sering",3,IF(Responses!AL117="Kadang - Kadang",2,IF(Responses!AL117="Jarang",1,0)))))</f>
        <v>2</v>
      </c>
      <c r="N117" s="8">
        <f>IF(Responses!AM117="","",IF(Responses!AM117="Selalu",4,IF(Responses!AM117="Sering",3,IF(Responses!AM117="Kadang - Kadang",2,IF(Responses!AM117="Jarang",1,0)))))</f>
        <v>2</v>
      </c>
      <c r="O117" s="8">
        <f>IF(Responses!AN117="","",IF(Responses!AN117="Selalu",4,IF(Responses!AN117="Sering",3,IF(Responses!AN117="Kadang - Kadang",2,IF(Responses!AN117="Jarang",1,0)))))</f>
        <v>2</v>
      </c>
      <c r="P117" s="8">
        <f>IF(Responses!AO117="","",IF(Responses!AO117="Selalu",4,IF(Responses!AO117="Sering",3,IF(Responses!AO117="Kadang - Kadang",2,IF(Responses!AO117="Jarang",1,0)))))</f>
        <v>2</v>
      </c>
      <c r="Q117" s="8">
        <f>IF(Responses!AP117="","",IF(Responses!AP117="Selalu",4,IF(Responses!AP117="Sering",3,IF(Responses!AP117="Kadang - Kadang",2,IF(Responses!AP117="Jarang",1,0)))))</f>
        <v>2</v>
      </c>
      <c r="R117" s="8">
        <f>IF(Responses!AQ117="","",IF(Responses!AQ117="Selalu",4,IF(Responses!AQ117="Sering",3,IF(Responses!AQ117="Kadang - Kadang",2,IF(Responses!AQ117="Jarang",1,0)))))</f>
        <v>2</v>
      </c>
      <c r="S117" s="8">
        <f>IF(Responses!AR117="","",IF(Responses!AR117="Selalu",4,IF(Responses!AR117="Sering",3,IF(Responses!AR117="Kadang - Kadang",2,IF(Responses!AR117="Jarang",1,0)))))</f>
        <v>2</v>
      </c>
      <c r="T117" s="8">
        <f>IF(Responses!AS117="","",IF(Responses!AS117="Selalu",4,IF(Responses!AS117="Sering",3,IF(Responses!AS117="Kadang - Kadang",2,IF(Responses!AS117="Jarang",1,0)))))</f>
        <v>2</v>
      </c>
      <c r="U117" s="8">
        <f>IF(Responses!AT117="","",IF(Responses!AT117="Selalu",4,IF(Responses!AT117="Sering",3,IF(Responses!AT117="Kadang - Kadang",2,IF(Responses!AT117="Jarang",1,0)))))</f>
        <v>2</v>
      </c>
      <c r="V117" s="8">
        <f>IF(Responses!AU117="","",IF(Responses!AU117="Selalu",4,IF(Responses!AU117="Sering",3,IF(Responses!AU117="Kadang - Kadang",2,IF(Responses!AU117="Jarang",1,0)))))</f>
        <v>2</v>
      </c>
      <c r="W117" s="8">
        <f>IF(Responses!AV117="","",IF(Responses!AV117="Selalu",4,IF(Responses!AV117="Sering",3,IF(Responses!AV117="Kadang - Kadang",2,IF(Responses!AV117="Jarang",1,0)))))</f>
        <v>2</v>
      </c>
      <c r="X117" s="8">
        <f>IF(Responses!AW117="","",IF(Responses!AW117="Selalu",4,IF(Responses!AW117="Sering",3,IF(Responses!AW117="Kadang - Kadang",2,IF(Responses!AW117="Jarang",1,0)))))</f>
        <v>2</v>
      </c>
      <c r="Y117" s="20">
        <f t="shared" si="6"/>
        <v>36</v>
      </c>
      <c r="Z117" s="22" t="str">
        <f t="shared" si="7"/>
        <v>Kecanduan Borderline</v>
      </c>
    </row>
    <row r="118" spans="1:26" x14ac:dyDescent="0.3">
      <c r="A118" s="19" t="str">
        <f>Responses!A118</f>
        <v>0VBp0DA</v>
      </c>
      <c r="B118" s="19" t="str">
        <f>Responses!B118</f>
        <v>XxRVERO</v>
      </c>
      <c r="C118" s="19">
        <f>Responses!C118</f>
        <v>46136.129004629627</v>
      </c>
      <c r="D118" s="19" t="str">
        <f>Responses!D118</f>
        <v>Galang Revand I</v>
      </c>
      <c r="E118" s="19" t="str">
        <f>Responses!E118</f>
        <v>XI-4</v>
      </c>
      <c r="F118" s="19">
        <f>Responses!F118</f>
        <v>17</v>
      </c>
      <c r="G118" s="8">
        <f>IF(Responses!AF118="","",IF(Responses!AF118="Selalu",4,IF(Responses!AF118="Sering",3,IF(Responses!AF118="Kadang - Kadang",2,IF(Responses!AF118="Jarang",1,0)))))</f>
        <v>3</v>
      </c>
      <c r="H118" s="8">
        <f>IF(Responses!AG118="","",IF(Responses!AG118="Selalu",4,IF(Responses!AG118="Sering",3,IF(Responses!AG118="Kadang - Kadang",2,IF(Responses!AG118="Jarang",1,0)))))</f>
        <v>2</v>
      </c>
      <c r="I118" s="8">
        <f>IF(Responses!AH118="","",IF(Responses!AH118="Selalu",4,IF(Responses!AH118="Sering",3,IF(Responses!AH118="Kadang - Kadang",2,IF(Responses!AH118="Jarang",1,0)))))</f>
        <v>1</v>
      </c>
      <c r="J118" s="8">
        <f>IF(Responses!AI118="","",IF(Responses!AI118="Selalu",4,IF(Responses!AI118="Sering",3,IF(Responses!AI118="Kadang - Kadang",2,IF(Responses!AI118="Jarang",1,0)))))</f>
        <v>3</v>
      </c>
      <c r="K118" s="8">
        <f>IF(Responses!AJ118="","",IF(Responses!AJ118="Selalu",4,IF(Responses!AJ118="Sering",3,IF(Responses!AJ118="Kadang - Kadang",2,IF(Responses!AJ118="Jarang",1,0)))))</f>
        <v>3</v>
      </c>
      <c r="L118" s="8">
        <f>IF(Responses!AK118="","",IF(Responses!AK118="Selalu",4,IF(Responses!AK118="Sering",3,IF(Responses!AK118="Kadang - Kadang",2,IF(Responses!AK118="Jarang",1,0)))))</f>
        <v>2</v>
      </c>
      <c r="M118" s="8">
        <f>IF(Responses!AL118="","",IF(Responses!AL118="Selalu",4,IF(Responses!AL118="Sering",3,IF(Responses!AL118="Kadang - Kadang",2,IF(Responses!AL118="Jarang",1,0)))))</f>
        <v>2</v>
      </c>
      <c r="N118" s="8">
        <f>IF(Responses!AM118="","",IF(Responses!AM118="Selalu",4,IF(Responses!AM118="Sering",3,IF(Responses!AM118="Kadang - Kadang",2,IF(Responses!AM118="Jarang",1,0)))))</f>
        <v>1</v>
      </c>
      <c r="O118" s="8">
        <f>IF(Responses!AN118="","",IF(Responses!AN118="Selalu",4,IF(Responses!AN118="Sering",3,IF(Responses!AN118="Kadang - Kadang",2,IF(Responses!AN118="Jarang",1,0)))))</f>
        <v>4</v>
      </c>
      <c r="P118" s="8">
        <f>IF(Responses!AO118="","",IF(Responses!AO118="Selalu",4,IF(Responses!AO118="Sering",3,IF(Responses!AO118="Kadang - Kadang",2,IF(Responses!AO118="Jarang",1,0)))))</f>
        <v>1</v>
      </c>
      <c r="Q118" s="8">
        <f>IF(Responses!AP118="","",IF(Responses!AP118="Selalu",4,IF(Responses!AP118="Sering",3,IF(Responses!AP118="Kadang - Kadang",2,IF(Responses!AP118="Jarang",1,0)))))</f>
        <v>0</v>
      </c>
      <c r="R118" s="8">
        <f>IF(Responses!AQ118="","",IF(Responses!AQ118="Selalu",4,IF(Responses!AQ118="Sering",3,IF(Responses!AQ118="Kadang - Kadang",2,IF(Responses!AQ118="Jarang",1,0)))))</f>
        <v>1</v>
      </c>
      <c r="S118" s="8">
        <f>IF(Responses!AR118="","",IF(Responses!AR118="Selalu",4,IF(Responses!AR118="Sering",3,IF(Responses!AR118="Kadang - Kadang",2,IF(Responses!AR118="Jarang",1,0)))))</f>
        <v>1</v>
      </c>
      <c r="T118" s="8">
        <f>IF(Responses!AS118="","",IF(Responses!AS118="Selalu",4,IF(Responses!AS118="Sering",3,IF(Responses!AS118="Kadang - Kadang",2,IF(Responses!AS118="Jarang",1,0)))))</f>
        <v>3</v>
      </c>
      <c r="U118" s="8">
        <f>IF(Responses!AT118="","",IF(Responses!AT118="Selalu",4,IF(Responses!AT118="Sering",3,IF(Responses!AT118="Kadang - Kadang",2,IF(Responses!AT118="Jarang",1,0)))))</f>
        <v>1</v>
      </c>
      <c r="V118" s="8">
        <f>IF(Responses!AU118="","",IF(Responses!AU118="Selalu",4,IF(Responses!AU118="Sering",3,IF(Responses!AU118="Kadang - Kadang",2,IF(Responses!AU118="Jarang",1,0)))))</f>
        <v>2</v>
      </c>
      <c r="W118" s="8">
        <f>IF(Responses!AV118="","",IF(Responses!AV118="Selalu",4,IF(Responses!AV118="Sering",3,IF(Responses!AV118="Kadang - Kadang",2,IF(Responses!AV118="Jarang",1,0)))))</f>
        <v>3</v>
      </c>
      <c r="X118" s="8">
        <f>IF(Responses!AW118="","",IF(Responses!AW118="Selalu",4,IF(Responses!AW118="Sering",3,IF(Responses!AW118="Kadang - Kadang",2,IF(Responses!AW118="Jarang",1,0)))))</f>
        <v>1</v>
      </c>
      <c r="Y118" s="20">
        <f t="shared" si="6"/>
        <v>34</v>
      </c>
      <c r="Z118" s="22" t="str">
        <f t="shared" si="7"/>
        <v>Kecanduan Borderline</v>
      </c>
    </row>
    <row r="119" spans="1:26" ht="24" customHeight="1" x14ac:dyDescent="0.3">
      <c r="A119" s="19" t="str">
        <f>Responses!A119</f>
        <v>rDax8BX</v>
      </c>
      <c r="B119" s="19" t="str">
        <f>Responses!B119</f>
        <v>ja0dLdR</v>
      </c>
      <c r="C119" s="19">
        <f>Responses!C119</f>
        <v>46136.129131944443</v>
      </c>
      <c r="D119" s="19" t="str">
        <f>Responses!D119</f>
        <v>Rafka Fausta Dwi Darmawan</v>
      </c>
      <c r="E119" s="19" t="str">
        <f>Responses!E119</f>
        <v>XI-4</v>
      </c>
      <c r="F119" s="19">
        <f>Responses!F119</f>
        <v>17</v>
      </c>
      <c r="G119" s="8">
        <f>IF(Responses!AF119="","",IF(Responses!AF119="Selalu",4,IF(Responses!AF119="Sering",3,IF(Responses!AF119="Kadang - Kadang",2,IF(Responses!AF119="Jarang",1,0)))))</f>
        <v>1</v>
      </c>
      <c r="H119" s="8">
        <f>IF(Responses!AG119="","",IF(Responses!AG119="Selalu",4,IF(Responses!AG119="Sering",3,IF(Responses!AG119="Kadang - Kadang",2,IF(Responses!AG119="Jarang",1,0)))))</f>
        <v>0</v>
      </c>
      <c r="I119" s="8">
        <f>IF(Responses!AH119="","",IF(Responses!AH119="Selalu",4,IF(Responses!AH119="Sering",3,IF(Responses!AH119="Kadang - Kadang",2,IF(Responses!AH119="Jarang",1,0)))))</f>
        <v>0</v>
      </c>
      <c r="J119" s="8">
        <f>IF(Responses!AI119="","",IF(Responses!AI119="Selalu",4,IF(Responses!AI119="Sering",3,IF(Responses!AI119="Kadang - Kadang",2,IF(Responses!AI119="Jarang",1,0)))))</f>
        <v>0</v>
      </c>
      <c r="K119" s="8">
        <f>IF(Responses!AJ119="","",IF(Responses!AJ119="Selalu",4,IF(Responses!AJ119="Sering",3,IF(Responses!AJ119="Kadang - Kadang",2,IF(Responses!AJ119="Jarang",1,0)))))</f>
        <v>0</v>
      </c>
      <c r="L119" s="8">
        <f>IF(Responses!AK119="","",IF(Responses!AK119="Selalu",4,IF(Responses!AK119="Sering",3,IF(Responses!AK119="Kadang - Kadang",2,IF(Responses!AK119="Jarang",1,0)))))</f>
        <v>1</v>
      </c>
      <c r="M119" s="8">
        <f>IF(Responses!AL119="","",IF(Responses!AL119="Selalu",4,IF(Responses!AL119="Sering",3,IF(Responses!AL119="Kadang - Kadang",2,IF(Responses!AL119="Jarang",1,0)))))</f>
        <v>0</v>
      </c>
      <c r="N119" s="8">
        <f>IF(Responses!AM119="","",IF(Responses!AM119="Selalu",4,IF(Responses!AM119="Sering",3,IF(Responses!AM119="Kadang - Kadang",2,IF(Responses!AM119="Jarang",1,0)))))</f>
        <v>3</v>
      </c>
      <c r="O119" s="8">
        <f>IF(Responses!AN119="","",IF(Responses!AN119="Selalu",4,IF(Responses!AN119="Sering",3,IF(Responses!AN119="Kadang - Kadang",2,IF(Responses!AN119="Jarang",1,0)))))</f>
        <v>0</v>
      </c>
      <c r="P119" s="8">
        <f>IF(Responses!AO119="","",IF(Responses!AO119="Selalu",4,IF(Responses!AO119="Sering",3,IF(Responses!AO119="Kadang - Kadang",2,IF(Responses!AO119="Jarang",1,0)))))</f>
        <v>0</v>
      </c>
      <c r="Q119" s="8">
        <f>IF(Responses!AP119="","",IF(Responses!AP119="Selalu",4,IF(Responses!AP119="Sering",3,IF(Responses!AP119="Kadang - Kadang",2,IF(Responses!AP119="Jarang",1,0)))))</f>
        <v>2</v>
      </c>
      <c r="R119" s="8">
        <f>IF(Responses!AQ119="","",IF(Responses!AQ119="Selalu",4,IF(Responses!AQ119="Sering",3,IF(Responses!AQ119="Kadang - Kadang",2,IF(Responses!AQ119="Jarang",1,0)))))</f>
        <v>0</v>
      </c>
      <c r="S119" s="8">
        <f>IF(Responses!AR119="","",IF(Responses!AR119="Selalu",4,IF(Responses!AR119="Sering",3,IF(Responses!AR119="Kadang - Kadang",2,IF(Responses!AR119="Jarang",1,0)))))</f>
        <v>0</v>
      </c>
      <c r="T119" s="8">
        <f>IF(Responses!AS119="","",IF(Responses!AS119="Selalu",4,IF(Responses!AS119="Sering",3,IF(Responses!AS119="Kadang - Kadang",2,IF(Responses!AS119="Jarang",1,0)))))</f>
        <v>1</v>
      </c>
      <c r="U119" s="8">
        <f>IF(Responses!AT119="","",IF(Responses!AT119="Selalu",4,IF(Responses!AT119="Sering",3,IF(Responses!AT119="Kadang - Kadang",2,IF(Responses!AT119="Jarang",1,0)))))</f>
        <v>0</v>
      </c>
      <c r="V119" s="8">
        <f>IF(Responses!AU119="","",IF(Responses!AU119="Selalu",4,IF(Responses!AU119="Sering",3,IF(Responses!AU119="Kadang - Kadang",2,IF(Responses!AU119="Jarang",1,0)))))</f>
        <v>0</v>
      </c>
      <c r="W119" s="8">
        <f>IF(Responses!AV119="","",IF(Responses!AV119="Selalu",4,IF(Responses!AV119="Sering",3,IF(Responses!AV119="Kadang - Kadang",2,IF(Responses!AV119="Jarang",1,0)))))</f>
        <v>0</v>
      </c>
      <c r="X119" s="8">
        <f>IF(Responses!AW119="","",IF(Responses!AW119="Selalu",4,IF(Responses!AW119="Sering",3,IF(Responses!AW119="Kadang - Kadang",2,IF(Responses!AW119="Jarang",1,0)))))</f>
        <v>0</v>
      </c>
      <c r="Y119" s="20">
        <f t="shared" si="6"/>
        <v>8</v>
      </c>
      <c r="Z119" s="22" t="str">
        <f t="shared" si="7"/>
        <v>Tidak/Sedikit Kecanduan</v>
      </c>
    </row>
    <row r="120" spans="1:26" ht="24" customHeight="1" x14ac:dyDescent="0.3">
      <c r="A120" s="19" t="str">
        <f>Responses!A120</f>
        <v>o9e48Rb</v>
      </c>
      <c r="B120" s="19" t="str">
        <f>Responses!B120</f>
        <v>GxoNDv2</v>
      </c>
      <c r="C120" s="19">
        <f>Responses!C120</f>
        <v>46136.129143518519</v>
      </c>
      <c r="D120" s="19" t="str">
        <f>Responses!D120</f>
        <v>Evano Wisha Argiant</v>
      </c>
      <c r="E120" s="19" t="str">
        <f>Responses!E120</f>
        <v>XI-4</v>
      </c>
      <c r="F120" s="19">
        <f>Responses!F120</f>
        <v>17</v>
      </c>
      <c r="G120" s="8">
        <f>IF(Responses!AF120="","",IF(Responses!AF120="Selalu",4,IF(Responses!AF120="Sering",3,IF(Responses!AF120="Kadang - Kadang",2,IF(Responses!AF120="Jarang",1,0)))))</f>
        <v>4</v>
      </c>
      <c r="H120" s="8">
        <f>IF(Responses!AG120="","",IF(Responses!AG120="Selalu",4,IF(Responses!AG120="Sering",3,IF(Responses!AG120="Kadang - Kadang",2,IF(Responses!AG120="Jarang",1,0)))))</f>
        <v>3</v>
      </c>
      <c r="I120" s="8">
        <f>IF(Responses!AH120="","",IF(Responses!AH120="Selalu",4,IF(Responses!AH120="Sering",3,IF(Responses!AH120="Kadang - Kadang",2,IF(Responses!AH120="Jarang",1,0)))))</f>
        <v>4</v>
      </c>
      <c r="J120" s="8">
        <f>IF(Responses!AI120="","",IF(Responses!AI120="Selalu",4,IF(Responses!AI120="Sering",3,IF(Responses!AI120="Kadang - Kadang",2,IF(Responses!AI120="Jarang",1,0)))))</f>
        <v>0</v>
      </c>
      <c r="K120" s="8">
        <f>IF(Responses!AJ120="","",IF(Responses!AJ120="Selalu",4,IF(Responses!AJ120="Sering",3,IF(Responses!AJ120="Kadang - Kadang",2,IF(Responses!AJ120="Jarang",1,0)))))</f>
        <v>4</v>
      </c>
      <c r="L120" s="8">
        <f>IF(Responses!AK120="","",IF(Responses!AK120="Selalu",4,IF(Responses!AK120="Sering",3,IF(Responses!AK120="Kadang - Kadang",2,IF(Responses!AK120="Jarang",1,0)))))</f>
        <v>2</v>
      </c>
      <c r="M120" s="8">
        <f>IF(Responses!AL120="","",IF(Responses!AL120="Selalu",4,IF(Responses!AL120="Sering",3,IF(Responses!AL120="Kadang - Kadang",2,IF(Responses!AL120="Jarang",1,0)))))</f>
        <v>0</v>
      </c>
      <c r="N120" s="8">
        <f>IF(Responses!AM120="","",IF(Responses!AM120="Selalu",4,IF(Responses!AM120="Sering",3,IF(Responses!AM120="Kadang - Kadang",2,IF(Responses!AM120="Jarang",1,0)))))</f>
        <v>4</v>
      </c>
      <c r="O120" s="8">
        <f>IF(Responses!AN120="","",IF(Responses!AN120="Selalu",4,IF(Responses!AN120="Sering",3,IF(Responses!AN120="Kadang - Kadang",2,IF(Responses!AN120="Jarang",1,0)))))</f>
        <v>1</v>
      </c>
      <c r="P120" s="8">
        <f>IF(Responses!AO120="","",IF(Responses!AO120="Selalu",4,IF(Responses!AO120="Sering",3,IF(Responses!AO120="Kadang - Kadang",2,IF(Responses!AO120="Jarang",1,0)))))</f>
        <v>4</v>
      </c>
      <c r="Q120" s="8">
        <f>IF(Responses!AP120="","",IF(Responses!AP120="Selalu",4,IF(Responses!AP120="Sering",3,IF(Responses!AP120="Kadang - Kadang",2,IF(Responses!AP120="Jarang",1,0)))))</f>
        <v>0</v>
      </c>
      <c r="R120" s="8">
        <f>IF(Responses!AQ120="","",IF(Responses!AQ120="Selalu",4,IF(Responses!AQ120="Sering",3,IF(Responses!AQ120="Kadang - Kadang",2,IF(Responses!AQ120="Jarang",1,0)))))</f>
        <v>2</v>
      </c>
      <c r="S120" s="8">
        <f>IF(Responses!AR120="","",IF(Responses!AR120="Selalu",4,IF(Responses!AR120="Sering",3,IF(Responses!AR120="Kadang - Kadang",2,IF(Responses!AR120="Jarang",1,0)))))</f>
        <v>3</v>
      </c>
      <c r="T120" s="8">
        <f>IF(Responses!AS120="","",IF(Responses!AS120="Selalu",4,IF(Responses!AS120="Sering",3,IF(Responses!AS120="Kadang - Kadang",2,IF(Responses!AS120="Jarang",1,0)))))</f>
        <v>2</v>
      </c>
      <c r="U120" s="8">
        <f>IF(Responses!AT120="","",IF(Responses!AT120="Selalu",4,IF(Responses!AT120="Sering",3,IF(Responses!AT120="Kadang - Kadang",2,IF(Responses!AT120="Jarang",1,0)))))</f>
        <v>2</v>
      </c>
      <c r="V120" s="8">
        <f>IF(Responses!AU120="","",IF(Responses!AU120="Selalu",4,IF(Responses!AU120="Sering",3,IF(Responses!AU120="Kadang - Kadang",2,IF(Responses!AU120="Jarang",1,0)))))</f>
        <v>4</v>
      </c>
      <c r="W120" s="8">
        <f>IF(Responses!AV120="","",IF(Responses!AV120="Selalu",4,IF(Responses!AV120="Sering",3,IF(Responses!AV120="Kadang - Kadang",2,IF(Responses!AV120="Jarang",1,0)))))</f>
        <v>1</v>
      </c>
      <c r="X120" s="8">
        <f>IF(Responses!AW120="","",IF(Responses!AW120="Selalu",4,IF(Responses!AW120="Sering",3,IF(Responses!AW120="Kadang - Kadang",2,IF(Responses!AW120="Jarang",1,0)))))</f>
        <v>2</v>
      </c>
      <c r="Y120" s="20">
        <f t="shared" si="6"/>
        <v>42</v>
      </c>
      <c r="Z120" s="22" t="str">
        <f t="shared" si="7"/>
        <v>Kemungkinan Kecanduan</v>
      </c>
    </row>
    <row r="121" spans="1:26" ht="24" customHeight="1" x14ac:dyDescent="0.3">
      <c r="A121" s="19" t="str">
        <f>Responses!A121</f>
        <v>yX2W5P0</v>
      </c>
      <c r="B121" s="19" t="str">
        <f>Responses!B121</f>
        <v>yP0KvOx</v>
      </c>
      <c r="C121" s="19">
        <f>Responses!C121</f>
        <v>46136.129328703697</v>
      </c>
      <c r="D121" s="19" t="str">
        <f>Responses!D121</f>
        <v xml:space="preserve">Silvyana Putri Ramadhani </v>
      </c>
      <c r="E121" s="19" t="str">
        <f>Responses!E121</f>
        <v>XI-4</v>
      </c>
      <c r="F121" s="19">
        <f>Responses!F121</f>
        <v>17</v>
      </c>
      <c r="G121" s="8">
        <f>IF(Responses!AF121="","",IF(Responses!AF121="Selalu",4,IF(Responses!AF121="Sering",3,IF(Responses!AF121="Kadang - Kadang",2,IF(Responses!AF121="Jarang",1,0)))))</f>
        <v>2</v>
      </c>
      <c r="H121" s="8">
        <f>IF(Responses!AG121="","",IF(Responses!AG121="Selalu",4,IF(Responses!AG121="Sering",3,IF(Responses!AG121="Kadang - Kadang",2,IF(Responses!AG121="Jarang",1,0)))))</f>
        <v>1</v>
      </c>
      <c r="I121" s="8">
        <f>IF(Responses!AH121="","",IF(Responses!AH121="Selalu",4,IF(Responses!AH121="Sering",3,IF(Responses!AH121="Kadang - Kadang",2,IF(Responses!AH121="Jarang",1,0)))))</f>
        <v>2</v>
      </c>
      <c r="J121" s="8">
        <f>IF(Responses!AI121="","",IF(Responses!AI121="Selalu",4,IF(Responses!AI121="Sering",3,IF(Responses!AI121="Kadang - Kadang",2,IF(Responses!AI121="Jarang",1,0)))))</f>
        <v>0</v>
      </c>
      <c r="K121" s="8">
        <f>IF(Responses!AJ121="","",IF(Responses!AJ121="Selalu",4,IF(Responses!AJ121="Sering",3,IF(Responses!AJ121="Kadang - Kadang",2,IF(Responses!AJ121="Jarang",1,0)))))</f>
        <v>1</v>
      </c>
      <c r="L121" s="8">
        <f>IF(Responses!AK121="","",IF(Responses!AK121="Selalu",4,IF(Responses!AK121="Sering",3,IF(Responses!AK121="Kadang - Kadang",2,IF(Responses!AK121="Jarang",1,0)))))</f>
        <v>1</v>
      </c>
      <c r="M121" s="8">
        <f>IF(Responses!AL121="","",IF(Responses!AL121="Selalu",4,IF(Responses!AL121="Sering",3,IF(Responses!AL121="Kadang - Kadang",2,IF(Responses!AL121="Jarang",1,0)))))</f>
        <v>1</v>
      </c>
      <c r="N121" s="8">
        <f>IF(Responses!AM121="","",IF(Responses!AM121="Selalu",4,IF(Responses!AM121="Sering",3,IF(Responses!AM121="Kadang - Kadang",2,IF(Responses!AM121="Jarang",1,0)))))</f>
        <v>3</v>
      </c>
      <c r="O121" s="8">
        <f>IF(Responses!AN121="","",IF(Responses!AN121="Selalu",4,IF(Responses!AN121="Sering",3,IF(Responses!AN121="Kadang - Kadang",2,IF(Responses!AN121="Jarang",1,0)))))</f>
        <v>2</v>
      </c>
      <c r="P121" s="8">
        <f>IF(Responses!AO121="","",IF(Responses!AO121="Selalu",4,IF(Responses!AO121="Sering",3,IF(Responses!AO121="Kadang - Kadang",2,IF(Responses!AO121="Jarang",1,0)))))</f>
        <v>2</v>
      </c>
      <c r="Q121" s="8">
        <f>IF(Responses!AP121="","",IF(Responses!AP121="Selalu",4,IF(Responses!AP121="Sering",3,IF(Responses!AP121="Kadang - Kadang",2,IF(Responses!AP121="Jarang",1,0)))))</f>
        <v>0</v>
      </c>
      <c r="R121" s="8">
        <f>IF(Responses!AQ121="","",IF(Responses!AQ121="Selalu",4,IF(Responses!AQ121="Sering",3,IF(Responses!AQ121="Kadang - Kadang",2,IF(Responses!AQ121="Jarang",1,0)))))</f>
        <v>0</v>
      </c>
      <c r="S121" s="8">
        <f>IF(Responses!AR121="","",IF(Responses!AR121="Selalu",4,IF(Responses!AR121="Sering",3,IF(Responses!AR121="Kadang - Kadang",2,IF(Responses!AR121="Jarang",1,0)))))</f>
        <v>1</v>
      </c>
      <c r="T121" s="8">
        <f>IF(Responses!AS121="","",IF(Responses!AS121="Selalu",4,IF(Responses!AS121="Sering",3,IF(Responses!AS121="Kadang - Kadang",2,IF(Responses!AS121="Jarang",1,0)))))</f>
        <v>0</v>
      </c>
      <c r="U121" s="8">
        <f>IF(Responses!AT121="","",IF(Responses!AT121="Selalu",4,IF(Responses!AT121="Sering",3,IF(Responses!AT121="Kadang - Kadang",2,IF(Responses!AT121="Jarang",1,0)))))</f>
        <v>1</v>
      </c>
      <c r="V121" s="8">
        <f>IF(Responses!AU121="","",IF(Responses!AU121="Selalu",4,IF(Responses!AU121="Sering",3,IF(Responses!AU121="Kadang - Kadang",2,IF(Responses!AU121="Jarang",1,0)))))</f>
        <v>1</v>
      </c>
      <c r="W121" s="8">
        <f>IF(Responses!AV121="","",IF(Responses!AV121="Selalu",4,IF(Responses!AV121="Sering",3,IF(Responses!AV121="Kadang - Kadang",2,IF(Responses!AV121="Jarang",1,0)))))</f>
        <v>0</v>
      </c>
      <c r="X121" s="8">
        <f>IF(Responses!AW121="","",IF(Responses!AW121="Selalu",4,IF(Responses!AW121="Sering",3,IF(Responses!AW121="Kadang - Kadang",2,IF(Responses!AW121="Jarang",1,0)))))</f>
        <v>1</v>
      </c>
      <c r="Y121" s="20">
        <f t="shared" si="6"/>
        <v>19</v>
      </c>
      <c r="Z121" s="22" t="str">
        <f t="shared" si="7"/>
        <v>Tidak/Sedikit Kecanduan</v>
      </c>
    </row>
    <row r="122" spans="1:26" ht="24" customHeight="1" x14ac:dyDescent="0.3">
      <c r="A122" s="19" t="str">
        <f>Responses!A122</f>
        <v>2jaMG2D</v>
      </c>
      <c r="B122" s="19" t="str">
        <f>Responses!B122</f>
        <v>kd0D74J</v>
      </c>
      <c r="C122" s="19">
        <f>Responses!C122</f>
        <v>46136.129513888889</v>
      </c>
      <c r="D122" s="19" t="str">
        <f>Responses!D122</f>
        <v>ahsan alvaro</v>
      </c>
      <c r="E122" s="19" t="str">
        <f>Responses!E122</f>
        <v>XI-4</v>
      </c>
      <c r="F122" s="19">
        <f>Responses!F122</f>
        <v>17</v>
      </c>
      <c r="G122" s="8">
        <f>IF(Responses!AF122="","",IF(Responses!AF122="Selalu",4,IF(Responses!AF122="Sering",3,IF(Responses!AF122="Kadang - Kadang",2,IF(Responses!AF122="Jarang",1,0)))))</f>
        <v>1</v>
      </c>
      <c r="H122" s="8">
        <f>IF(Responses!AG122="","",IF(Responses!AG122="Selalu",4,IF(Responses!AG122="Sering",3,IF(Responses!AG122="Kadang - Kadang",2,IF(Responses!AG122="Jarang",1,0)))))</f>
        <v>0</v>
      </c>
      <c r="I122" s="8">
        <f>IF(Responses!AH122="","",IF(Responses!AH122="Selalu",4,IF(Responses!AH122="Sering",3,IF(Responses!AH122="Kadang - Kadang",2,IF(Responses!AH122="Jarang",1,0)))))</f>
        <v>0</v>
      </c>
      <c r="J122" s="8">
        <f>IF(Responses!AI122="","",IF(Responses!AI122="Selalu",4,IF(Responses!AI122="Sering",3,IF(Responses!AI122="Kadang - Kadang",2,IF(Responses!AI122="Jarang",1,0)))))</f>
        <v>0</v>
      </c>
      <c r="K122" s="8">
        <f>IF(Responses!AJ122="","",IF(Responses!AJ122="Selalu",4,IF(Responses!AJ122="Sering",3,IF(Responses!AJ122="Kadang - Kadang",2,IF(Responses!AJ122="Jarang",1,0)))))</f>
        <v>0</v>
      </c>
      <c r="L122" s="8">
        <f>IF(Responses!AK122="","",IF(Responses!AK122="Selalu",4,IF(Responses!AK122="Sering",3,IF(Responses!AK122="Kadang - Kadang",2,IF(Responses!AK122="Jarang",1,0)))))</f>
        <v>0</v>
      </c>
      <c r="M122" s="8">
        <f>IF(Responses!AL122="","",IF(Responses!AL122="Selalu",4,IF(Responses!AL122="Sering",3,IF(Responses!AL122="Kadang - Kadang",2,IF(Responses!AL122="Jarang",1,0)))))</f>
        <v>0</v>
      </c>
      <c r="N122" s="8">
        <f>IF(Responses!AM122="","",IF(Responses!AM122="Selalu",4,IF(Responses!AM122="Sering",3,IF(Responses!AM122="Kadang - Kadang",2,IF(Responses!AM122="Jarang",1,0)))))</f>
        <v>0</v>
      </c>
      <c r="O122" s="8">
        <f>IF(Responses!AN122="","",IF(Responses!AN122="Selalu",4,IF(Responses!AN122="Sering",3,IF(Responses!AN122="Kadang - Kadang",2,IF(Responses!AN122="Jarang",1,0)))))</f>
        <v>0</v>
      </c>
      <c r="P122" s="8">
        <f>IF(Responses!AO122="","",IF(Responses!AO122="Selalu",4,IF(Responses!AO122="Sering",3,IF(Responses!AO122="Kadang - Kadang",2,IF(Responses!AO122="Jarang",1,0)))))</f>
        <v>0</v>
      </c>
      <c r="Q122" s="8">
        <f>IF(Responses!AP122="","",IF(Responses!AP122="Selalu",4,IF(Responses!AP122="Sering",3,IF(Responses!AP122="Kadang - Kadang",2,IF(Responses!AP122="Jarang",1,0)))))</f>
        <v>1</v>
      </c>
      <c r="R122" s="8">
        <f>IF(Responses!AQ122="","",IF(Responses!AQ122="Selalu",4,IF(Responses!AQ122="Sering",3,IF(Responses!AQ122="Kadang - Kadang",2,IF(Responses!AQ122="Jarang",1,0)))))</f>
        <v>1</v>
      </c>
      <c r="S122" s="8">
        <f>IF(Responses!AR122="","",IF(Responses!AR122="Selalu",4,IF(Responses!AR122="Sering",3,IF(Responses!AR122="Kadang - Kadang",2,IF(Responses!AR122="Jarang",1,0)))))</f>
        <v>1</v>
      </c>
      <c r="T122" s="8">
        <f>IF(Responses!AS122="","",IF(Responses!AS122="Selalu",4,IF(Responses!AS122="Sering",3,IF(Responses!AS122="Kadang - Kadang",2,IF(Responses!AS122="Jarang",1,0)))))</f>
        <v>1</v>
      </c>
      <c r="U122" s="8">
        <f>IF(Responses!AT122="","",IF(Responses!AT122="Selalu",4,IF(Responses!AT122="Sering",3,IF(Responses!AT122="Kadang - Kadang",2,IF(Responses!AT122="Jarang",1,0)))))</f>
        <v>1</v>
      </c>
      <c r="V122" s="8">
        <f>IF(Responses!AU122="","",IF(Responses!AU122="Selalu",4,IF(Responses!AU122="Sering",3,IF(Responses!AU122="Kadang - Kadang",2,IF(Responses!AU122="Jarang",1,0)))))</f>
        <v>0</v>
      </c>
      <c r="W122" s="8">
        <f>IF(Responses!AV122="","",IF(Responses!AV122="Selalu",4,IF(Responses!AV122="Sering",3,IF(Responses!AV122="Kadang - Kadang",2,IF(Responses!AV122="Jarang",1,0)))))</f>
        <v>0</v>
      </c>
      <c r="X122" s="8">
        <f>IF(Responses!AW122="","",IF(Responses!AW122="Selalu",4,IF(Responses!AW122="Sering",3,IF(Responses!AW122="Kadang - Kadang",2,IF(Responses!AW122="Jarang",1,0)))))</f>
        <v>0</v>
      </c>
      <c r="Y122" s="20">
        <f t="shared" si="6"/>
        <v>6</v>
      </c>
      <c r="Z122" s="22" t="str">
        <f t="shared" si="7"/>
        <v>Tidak/Sedikit Kecanduan</v>
      </c>
    </row>
    <row r="123" spans="1:26" x14ac:dyDescent="0.3">
      <c r="A123" s="19" t="str">
        <f>Responses!A123</f>
        <v>q5D2rA7</v>
      </c>
      <c r="B123" s="19" t="str">
        <f>Responses!B123</f>
        <v>KYP7PYD</v>
      </c>
      <c r="C123" s="19">
        <f>Responses!C123</f>
        <v>46136.129791666674</v>
      </c>
      <c r="D123" s="19" t="str">
        <f>Responses!D123</f>
        <v xml:space="preserve">faden </v>
      </c>
      <c r="E123" s="19" t="str">
        <f>Responses!E123</f>
        <v>XI-4</v>
      </c>
      <c r="F123" s="19">
        <f>Responses!F123</f>
        <v>16</v>
      </c>
      <c r="G123" s="8">
        <f>IF(Responses!AF123="","",IF(Responses!AF123="Selalu",4,IF(Responses!AF123="Sering",3,IF(Responses!AF123="Kadang - Kadang",2,IF(Responses!AF123="Jarang",1,0)))))</f>
        <v>0</v>
      </c>
      <c r="H123" s="8">
        <f>IF(Responses!AG123="","",IF(Responses!AG123="Selalu",4,IF(Responses!AG123="Sering",3,IF(Responses!AG123="Kadang - Kadang",2,IF(Responses!AG123="Jarang",1,0)))))</f>
        <v>0</v>
      </c>
      <c r="I123" s="8">
        <f>IF(Responses!AH123="","",IF(Responses!AH123="Selalu",4,IF(Responses!AH123="Sering",3,IF(Responses!AH123="Kadang - Kadang",2,IF(Responses!AH123="Jarang",1,0)))))</f>
        <v>0</v>
      </c>
      <c r="J123" s="8">
        <f>IF(Responses!AI123="","",IF(Responses!AI123="Selalu",4,IF(Responses!AI123="Sering",3,IF(Responses!AI123="Kadang - Kadang",2,IF(Responses!AI123="Jarang",1,0)))))</f>
        <v>0</v>
      </c>
      <c r="K123" s="8">
        <f>IF(Responses!AJ123="","",IF(Responses!AJ123="Selalu",4,IF(Responses!AJ123="Sering",3,IF(Responses!AJ123="Kadang - Kadang",2,IF(Responses!AJ123="Jarang",1,0)))))</f>
        <v>0</v>
      </c>
      <c r="L123" s="8">
        <f>IF(Responses!AK123="","",IF(Responses!AK123="Selalu",4,IF(Responses!AK123="Sering",3,IF(Responses!AK123="Kadang - Kadang",2,IF(Responses!AK123="Jarang",1,0)))))</f>
        <v>4</v>
      </c>
      <c r="M123" s="8">
        <f>IF(Responses!AL123="","",IF(Responses!AL123="Selalu",4,IF(Responses!AL123="Sering",3,IF(Responses!AL123="Kadang - Kadang",2,IF(Responses!AL123="Jarang",1,0)))))</f>
        <v>2</v>
      </c>
      <c r="N123" s="8">
        <f>IF(Responses!AM123="","",IF(Responses!AM123="Selalu",4,IF(Responses!AM123="Sering",3,IF(Responses!AM123="Kadang - Kadang",2,IF(Responses!AM123="Jarang",1,0)))))</f>
        <v>2</v>
      </c>
      <c r="O123" s="8">
        <f>IF(Responses!AN123="","",IF(Responses!AN123="Selalu",4,IF(Responses!AN123="Sering",3,IF(Responses!AN123="Kadang - Kadang",2,IF(Responses!AN123="Jarang",1,0)))))</f>
        <v>0</v>
      </c>
      <c r="P123" s="8">
        <f>IF(Responses!AO123="","",IF(Responses!AO123="Selalu",4,IF(Responses!AO123="Sering",3,IF(Responses!AO123="Kadang - Kadang",2,IF(Responses!AO123="Jarang",1,0)))))</f>
        <v>4</v>
      </c>
      <c r="Q123" s="8">
        <f>IF(Responses!AP123="","",IF(Responses!AP123="Selalu",4,IF(Responses!AP123="Sering",3,IF(Responses!AP123="Kadang - Kadang",2,IF(Responses!AP123="Jarang",1,0)))))</f>
        <v>4</v>
      </c>
      <c r="R123" s="8">
        <f>IF(Responses!AQ123="","",IF(Responses!AQ123="Selalu",4,IF(Responses!AQ123="Sering",3,IF(Responses!AQ123="Kadang - Kadang",2,IF(Responses!AQ123="Jarang",1,0)))))</f>
        <v>2</v>
      </c>
      <c r="S123" s="8">
        <f>IF(Responses!AR123="","",IF(Responses!AR123="Selalu",4,IF(Responses!AR123="Sering",3,IF(Responses!AR123="Kadang - Kadang",2,IF(Responses!AR123="Jarang",1,0)))))</f>
        <v>4</v>
      </c>
      <c r="T123" s="8">
        <f>IF(Responses!AS123="","",IF(Responses!AS123="Selalu",4,IF(Responses!AS123="Sering",3,IF(Responses!AS123="Kadang - Kadang",2,IF(Responses!AS123="Jarang",1,0)))))</f>
        <v>4</v>
      </c>
      <c r="U123" s="8">
        <f>IF(Responses!AT123="","",IF(Responses!AT123="Selalu",4,IF(Responses!AT123="Sering",3,IF(Responses!AT123="Kadang - Kadang",2,IF(Responses!AT123="Jarang",1,0)))))</f>
        <v>4</v>
      </c>
      <c r="V123" s="8">
        <f>IF(Responses!AU123="","",IF(Responses!AU123="Selalu",4,IF(Responses!AU123="Sering",3,IF(Responses!AU123="Kadang - Kadang",2,IF(Responses!AU123="Jarang",1,0)))))</f>
        <v>2</v>
      </c>
      <c r="W123" s="8">
        <f>IF(Responses!AV123="","",IF(Responses!AV123="Selalu",4,IF(Responses!AV123="Sering",3,IF(Responses!AV123="Kadang - Kadang",2,IF(Responses!AV123="Jarang",1,0)))))</f>
        <v>3</v>
      </c>
      <c r="X123" s="8">
        <f>IF(Responses!AW123="","",IF(Responses!AW123="Selalu",4,IF(Responses!AW123="Sering",3,IF(Responses!AW123="Kadang - Kadang",2,IF(Responses!AW123="Jarang",1,0)))))</f>
        <v>3</v>
      </c>
      <c r="Y123" s="20">
        <f t="shared" si="6"/>
        <v>38</v>
      </c>
      <c r="Z123" s="22" t="str">
        <f t="shared" si="7"/>
        <v>Kecanduan Borderline</v>
      </c>
    </row>
    <row r="124" spans="1:26" ht="24" customHeight="1" x14ac:dyDescent="0.3">
      <c r="A124" s="19" t="str">
        <f>Responses!A124</f>
        <v>zEyap8k</v>
      </c>
      <c r="B124" s="19" t="str">
        <f>Responses!B124</f>
        <v>KYP7G8V</v>
      </c>
      <c r="C124" s="19">
        <f>Responses!C124</f>
        <v>46136.131180555552</v>
      </c>
      <c r="D124" s="19" t="str">
        <f>Responses!D124</f>
        <v>Fira Abellina Saputri</v>
      </c>
      <c r="E124" s="19" t="str">
        <f>Responses!E124</f>
        <v>XI-4</v>
      </c>
      <c r="F124" s="19">
        <f>Responses!F124</f>
        <v>17</v>
      </c>
      <c r="G124" s="8">
        <f>IF(Responses!AF124="","",IF(Responses!AF124="Selalu",4,IF(Responses!AF124="Sering",3,IF(Responses!AF124="Kadang - Kadang",2,IF(Responses!AF124="Jarang",1,0)))))</f>
        <v>2</v>
      </c>
      <c r="H124" s="8">
        <f>IF(Responses!AG124="","",IF(Responses!AG124="Selalu",4,IF(Responses!AG124="Sering",3,IF(Responses!AG124="Kadang - Kadang",2,IF(Responses!AG124="Jarang",1,0)))))</f>
        <v>1</v>
      </c>
      <c r="I124" s="8">
        <f>IF(Responses!AH124="","",IF(Responses!AH124="Selalu",4,IF(Responses!AH124="Sering",3,IF(Responses!AH124="Kadang - Kadang",2,IF(Responses!AH124="Jarang",1,0)))))</f>
        <v>1</v>
      </c>
      <c r="J124" s="8">
        <f>IF(Responses!AI124="","",IF(Responses!AI124="Selalu",4,IF(Responses!AI124="Sering",3,IF(Responses!AI124="Kadang - Kadang",2,IF(Responses!AI124="Jarang",1,0)))))</f>
        <v>1</v>
      </c>
      <c r="K124" s="8">
        <f>IF(Responses!AJ124="","",IF(Responses!AJ124="Selalu",4,IF(Responses!AJ124="Sering",3,IF(Responses!AJ124="Kadang - Kadang",2,IF(Responses!AJ124="Jarang",1,0)))))</f>
        <v>2</v>
      </c>
      <c r="L124" s="8">
        <f>IF(Responses!AK124="","",IF(Responses!AK124="Selalu",4,IF(Responses!AK124="Sering",3,IF(Responses!AK124="Kadang - Kadang",2,IF(Responses!AK124="Jarang",1,0)))))</f>
        <v>1</v>
      </c>
      <c r="M124" s="8">
        <f>IF(Responses!AL124="","",IF(Responses!AL124="Selalu",4,IF(Responses!AL124="Sering",3,IF(Responses!AL124="Kadang - Kadang",2,IF(Responses!AL124="Jarang",1,0)))))</f>
        <v>1</v>
      </c>
      <c r="N124" s="8">
        <f>IF(Responses!AM124="","",IF(Responses!AM124="Selalu",4,IF(Responses!AM124="Sering",3,IF(Responses!AM124="Kadang - Kadang",2,IF(Responses!AM124="Jarang",1,0)))))</f>
        <v>0</v>
      </c>
      <c r="O124" s="8">
        <f>IF(Responses!AN124="","",IF(Responses!AN124="Selalu",4,IF(Responses!AN124="Sering",3,IF(Responses!AN124="Kadang - Kadang",2,IF(Responses!AN124="Jarang",1,0)))))</f>
        <v>1</v>
      </c>
      <c r="P124" s="8">
        <f>IF(Responses!AO124="","",IF(Responses!AO124="Selalu",4,IF(Responses!AO124="Sering",3,IF(Responses!AO124="Kadang - Kadang",2,IF(Responses!AO124="Jarang",1,0)))))</f>
        <v>2</v>
      </c>
      <c r="Q124" s="8">
        <f>IF(Responses!AP124="","",IF(Responses!AP124="Selalu",4,IF(Responses!AP124="Sering",3,IF(Responses!AP124="Kadang - Kadang",2,IF(Responses!AP124="Jarang",1,0)))))</f>
        <v>1</v>
      </c>
      <c r="R124" s="8">
        <f>IF(Responses!AQ124="","",IF(Responses!AQ124="Selalu",4,IF(Responses!AQ124="Sering",3,IF(Responses!AQ124="Kadang - Kadang",2,IF(Responses!AQ124="Jarang",1,0)))))</f>
        <v>2</v>
      </c>
      <c r="S124" s="8">
        <f>IF(Responses!AR124="","",IF(Responses!AR124="Selalu",4,IF(Responses!AR124="Sering",3,IF(Responses!AR124="Kadang - Kadang",2,IF(Responses!AR124="Jarang",1,0)))))</f>
        <v>1</v>
      </c>
      <c r="T124" s="8">
        <f>IF(Responses!AS124="","",IF(Responses!AS124="Selalu",4,IF(Responses!AS124="Sering",3,IF(Responses!AS124="Kadang - Kadang",2,IF(Responses!AS124="Jarang",1,0)))))</f>
        <v>2</v>
      </c>
      <c r="U124" s="8">
        <f>IF(Responses!AT124="","",IF(Responses!AT124="Selalu",4,IF(Responses!AT124="Sering",3,IF(Responses!AT124="Kadang - Kadang",2,IF(Responses!AT124="Jarang",1,0)))))</f>
        <v>1</v>
      </c>
      <c r="V124" s="8">
        <f>IF(Responses!AU124="","",IF(Responses!AU124="Selalu",4,IF(Responses!AU124="Sering",3,IF(Responses!AU124="Kadang - Kadang",2,IF(Responses!AU124="Jarang",1,0)))))</f>
        <v>1</v>
      </c>
      <c r="W124" s="8">
        <f>IF(Responses!AV124="","",IF(Responses!AV124="Selalu",4,IF(Responses!AV124="Sering",3,IF(Responses!AV124="Kadang - Kadang",2,IF(Responses!AV124="Jarang",1,0)))))</f>
        <v>1</v>
      </c>
      <c r="X124" s="8">
        <f>IF(Responses!AW124="","",IF(Responses!AW124="Selalu",4,IF(Responses!AW124="Sering",3,IF(Responses!AW124="Kadang - Kadang",2,IF(Responses!AW124="Jarang",1,0)))))</f>
        <v>2</v>
      </c>
      <c r="Y124" s="20">
        <f t="shared" si="6"/>
        <v>23</v>
      </c>
      <c r="Z124" s="22" t="str">
        <f t="shared" si="7"/>
        <v>Tidak/Sedikit Kecanduan</v>
      </c>
    </row>
    <row r="125" spans="1:26" x14ac:dyDescent="0.3">
      <c r="A125" s="19" t="str">
        <f>Responses!A125</f>
        <v>xVMkVAy</v>
      </c>
      <c r="B125" s="19" t="str">
        <f>Responses!B125</f>
        <v>5Bl6QEd</v>
      </c>
      <c r="C125" s="19">
        <f>Responses!C125</f>
        <v>46136.131828703707</v>
      </c>
      <c r="D125" s="19" t="str">
        <f>Responses!D125</f>
        <v xml:space="preserve">Ahmad Faiq Putra Oemardi </v>
      </c>
      <c r="E125" s="19" t="str">
        <f>Responses!E125</f>
        <v>XI-4</v>
      </c>
      <c r="F125" s="19">
        <f>Responses!F125</f>
        <v>17</v>
      </c>
      <c r="G125" s="8">
        <f>IF(Responses!AF125="","",IF(Responses!AF125="Selalu",4,IF(Responses!AF125="Sering",3,IF(Responses!AF125="Kadang - Kadang",2,IF(Responses!AF125="Jarang",1,0)))))</f>
        <v>3</v>
      </c>
      <c r="H125" s="8">
        <f>IF(Responses!AG125="","",IF(Responses!AG125="Selalu",4,IF(Responses!AG125="Sering",3,IF(Responses!AG125="Kadang - Kadang",2,IF(Responses!AG125="Jarang",1,0)))))</f>
        <v>2</v>
      </c>
      <c r="I125" s="8">
        <f>IF(Responses!AH125="","",IF(Responses!AH125="Selalu",4,IF(Responses!AH125="Sering",3,IF(Responses!AH125="Kadang - Kadang",2,IF(Responses!AH125="Jarang",1,0)))))</f>
        <v>4</v>
      </c>
      <c r="J125" s="8">
        <f>IF(Responses!AI125="","",IF(Responses!AI125="Selalu",4,IF(Responses!AI125="Sering",3,IF(Responses!AI125="Kadang - Kadang",2,IF(Responses!AI125="Jarang",1,0)))))</f>
        <v>2</v>
      </c>
      <c r="K125" s="8">
        <f>IF(Responses!AJ125="","",IF(Responses!AJ125="Selalu",4,IF(Responses!AJ125="Sering",3,IF(Responses!AJ125="Kadang - Kadang",2,IF(Responses!AJ125="Jarang",1,0)))))</f>
        <v>0</v>
      </c>
      <c r="L125" s="8">
        <f>IF(Responses!AK125="","",IF(Responses!AK125="Selalu",4,IF(Responses!AK125="Sering",3,IF(Responses!AK125="Kadang - Kadang",2,IF(Responses!AK125="Jarang",1,0)))))</f>
        <v>2</v>
      </c>
      <c r="M125" s="8">
        <f>IF(Responses!AL125="","",IF(Responses!AL125="Selalu",4,IF(Responses!AL125="Sering",3,IF(Responses!AL125="Kadang - Kadang",2,IF(Responses!AL125="Jarang",1,0)))))</f>
        <v>2</v>
      </c>
      <c r="N125" s="8">
        <f>IF(Responses!AM125="","",IF(Responses!AM125="Selalu",4,IF(Responses!AM125="Sering",3,IF(Responses!AM125="Kadang - Kadang",2,IF(Responses!AM125="Jarang",1,0)))))</f>
        <v>2</v>
      </c>
      <c r="O125" s="8">
        <f>IF(Responses!AN125="","",IF(Responses!AN125="Selalu",4,IF(Responses!AN125="Sering",3,IF(Responses!AN125="Kadang - Kadang",2,IF(Responses!AN125="Jarang",1,0)))))</f>
        <v>2</v>
      </c>
      <c r="P125" s="8">
        <f>IF(Responses!AO125="","",IF(Responses!AO125="Selalu",4,IF(Responses!AO125="Sering",3,IF(Responses!AO125="Kadang - Kadang",2,IF(Responses!AO125="Jarang",1,0)))))</f>
        <v>3</v>
      </c>
      <c r="Q125" s="8">
        <f>IF(Responses!AP125="","",IF(Responses!AP125="Selalu",4,IF(Responses!AP125="Sering",3,IF(Responses!AP125="Kadang - Kadang",2,IF(Responses!AP125="Jarang",1,0)))))</f>
        <v>2</v>
      </c>
      <c r="R125" s="8">
        <f>IF(Responses!AQ125="","",IF(Responses!AQ125="Selalu",4,IF(Responses!AQ125="Sering",3,IF(Responses!AQ125="Kadang - Kadang",2,IF(Responses!AQ125="Jarang",1,0)))))</f>
        <v>2</v>
      </c>
      <c r="S125" s="8">
        <f>IF(Responses!AR125="","",IF(Responses!AR125="Selalu",4,IF(Responses!AR125="Sering",3,IF(Responses!AR125="Kadang - Kadang",2,IF(Responses!AR125="Jarang",1,0)))))</f>
        <v>2</v>
      </c>
      <c r="T125" s="8">
        <f>IF(Responses!AS125="","",IF(Responses!AS125="Selalu",4,IF(Responses!AS125="Sering",3,IF(Responses!AS125="Kadang - Kadang",2,IF(Responses!AS125="Jarang",1,0)))))</f>
        <v>2</v>
      </c>
      <c r="U125" s="8">
        <f>IF(Responses!AT125="","",IF(Responses!AT125="Selalu",4,IF(Responses!AT125="Sering",3,IF(Responses!AT125="Kadang - Kadang",2,IF(Responses!AT125="Jarang",1,0)))))</f>
        <v>3</v>
      </c>
      <c r="V125" s="8">
        <f>IF(Responses!AU125="","",IF(Responses!AU125="Selalu",4,IF(Responses!AU125="Sering",3,IF(Responses!AU125="Kadang - Kadang",2,IF(Responses!AU125="Jarang",1,0)))))</f>
        <v>3</v>
      </c>
      <c r="W125" s="8">
        <f>IF(Responses!AV125="","",IF(Responses!AV125="Selalu",4,IF(Responses!AV125="Sering",3,IF(Responses!AV125="Kadang - Kadang",2,IF(Responses!AV125="Jarang",1,0)))))</f>
        <v>0</v>
      </c>
      <c r="X125" s="8">
        <f>IF(Responses!AW125="","",IF(Responses!AW125="Selalu",4,IF(Responses!AW125="Sering",3,IF(Responses!AW125="Kadang - Kadang",2,IF(Responses!AW125="Jarang",1,0)))))</f>
        <v>2</v>
      </c>
      <c r="Y125" s="20">
        <f t="shared" si="6"/>
        <v>38</v>
      </c>
      <c r="Z125" s="22" t="str">
        <f t="shared" si="7"/>
        <v>Kecanduan Borderline</v>
      </c>
    </row>
    <row r="126" spans="1:26" ht="24" customHeight="1" x14ac:dyDescent="0.3">
      <c r="A126" s="19" t="str">
        <f>Responses!A126</f>
        <v>VpQR0lv</v>
      </c>
      <c r="B126" s="19" t="str">
        <f>Responses!B126</f>
        <v>WOeGadv</v>
      </c>
      <c r="C126" s="19">
        <f>Responses!C126</f>
        <v>46136.133391203701</v>
      </c>
      <c r="D126" s="19" t="str">
        <f>Responses!D126</f>
        <v>M Nadzhif Habibul M</v>
      </c>
      <c r="E126" s="19" t="str">
        <f>Responses!E126</f>
        <v>XI-4</v>
      </c>
      <c r="F126" s="19">
        <f>Responses!F126</f>
        <v>17</v>
      </c>
      <c r="G126" s="8">
        <f>IF(Responses!AF126="","",IF(Responses!AF126="Selalu",4,IF(Responses!AF126="Sering",3,IF(Responses!AF126="Kadang - Kadang",2,IF(Responses!AF126="Jarang",1,0)))))</f>
        <v>2</v>
      </c>
      <c r="H126" s="8">
        <f>IF(Responses!AG126="","",IF(Responses!AG126="Selalu",4,IF(Responses!AG126="Sering",3,IF(Responses!AG126="Kadang - Kadang",2,IF(Responses!AG126="Jarang",1,0)))))</f>
        <v>0</v>
      </c>
      <c r="I126" s="8">
        <f>IF(Responses!AH126="","",IF(Responses!AH126="Selalu",4,IF(Responses!AH126="Sering",3,IF(Responses!AH126="Kadang - Kadang",2,IF(Responses!AH126="Jarang",1,0)))))</f>
        <v>0</v>
      </c>
      <c r="J126" s="8">
        <f>IF(Responses!AI126="","",IF(Responses!AI126="Selalu",4,IF(Responses!AI126="Sering",3,IF(Responses!AI126="Kadang - Kadang",2,IF(Responses!AI126="Jarang",1,0)))))</f>
        <v>0</v>
      </c>
      <c r="K126" s="8">
        <f>IF(Responses!AJ126="","",IF(Responses!AJ126="Selalu",4,IF(Responses!AJ126="Sering",3,IF(Responses!AJ126="Kadang - Kadang",2,IF(Responses!AJ126="Jarang",1,0)))))</f>
        <v>0</v>
      </c>
      <c r="L126" s="8">
        <f>IF(Responses!AK126="","",IF(Responses!AK126="Selalu",4,IF(Responses!AK126="Sering",3,IF(Responses!AK126="Kadang - Kadang",2,IF(Responses!AK126="Jarang",1,0)))))</f>
        <v>1</v>
      </c>
      <c r="M126" s="8">
        <f>IF(Responses!AL126="","",IF(Responses!AL126="Selalu",4,IF(Responses!AL126="Sering",3,IF(Responses!AL126="Kadang - Kadang",2,IF(Responses!AL126="Jarang",1,0)))))</f>
        <v>1</v>
      </c>
      <c r="N126" s="8">
        <f>IF(Responses!AM126="","",IF(Responses!AM126="Selalu",4,IF(Responses!AM126="Sering",3,IF(Responses!AM126="Kadang - Kadang",2,IF(Responses!AM126="Jarang",1,0)))))</f>
        <v>2</v>
      </c>
      <c r="O126" s="8">
        <f>IF(Responses!AN126="","",IF(Responses!AN126="Selalu",4,IF(Responses!AN126="Sering",3,IF(Responses!AN126="Kadang - Kadang",2,IF(Responses!AN126="Jarang",1,0)))))</f>
        <v>2</v>
      </c>
      <c r="P126" s="8">
        <f>IF(Responses!AO126="","",IF(Responses!AO126="Selalu",4,IF(Responses!AO126="Sering",3,IF(Responses!AO126="Kadang - Kadang",2,IF(Responses!AO126="Jarang",1,0)))))</f>
        <v>1</v>
      </c>
      <c r="Q126" s="8">
        <f>IF(Responses!AP126="","",IF(Responses!AP126="Selalu",4,IF(Responses!AP126="Sering",3,IF(Responses!AP126="Kadang - Kadang",2,IF(Responses!AP126="Jarang",1,0)))))</f>
        <v>1</v>
      </c>
      <c r="R126" s="8">
        <f>IF(Responses!AQ126="","",IF(Responses!AQ126="Selalu",4,IF(Responses!AQ126="Sering",3,IF(Responses!AQ126="Kadang - Kadang",2,IF(Responses!AQ126="Jarang",1,0)))))</f>
        <v>1</v>
      </c>
      <c r="S126" s="8">
        <f>IF(Responses!AR126="","",IF(Responses!AR126="Selalu",4,IF(Responses!AR126="Sering",3,IF(Responses!AR126="Kadang - Kadang",2,IF(Responses!AR126="Jarang",1,0)))))</f>
        <v>2</v>
      </c>
      <c r="T126" s="8">
        <f>IF(Responses!AS126="","",IF(Responses!AS126="Selalu",4,IF(Responses!AS126="Sering",3,IF(Responses!AS126="Kadang - Kadang",2,IF(Responses!AS126="Jarang",1,0)))))</f>
        <v>1</v>
      </c>
      <c r="U126" s="8">
        <f>IF(Responses!AT126="","",IF(Responses!AT126="Selalu",4,IF(Responses!AT126="Sering",3,IF(Responses!AT126="Kadang - Kadang",2,IF(Responses!AT126="Jarang",1,0)))))</f>
        <v>2</v>
      </c>
      <c r="V126" s="8">
        <f>IF(Responses!AU126="","",IF(Responses!AU126="Selalu",4,IF(Responses!AU126="Sering",3,IF(Responses!AU126="Kadang - Kadang",2,IF(Responses!AU126="Jarang",1,0)))))</f>
        <v>0</v>
      </c>
      <c r="W126" s="8">
        <f>IF(Responses!AV126="","",IF(Responses!AV126="Selalu",4,IF(Responses!AV126="Sering",3,IF(Responses!AV126="Kadang - Kadang",2,IF(Responses!AV126="Jarang",1,0)))))</f>
        <v>1</v>
      </c>
      <c r="X126" s="8">
        <f>IF(Responses!AW126="","",IF(Responses!AW126="Selalu",4,IF(Responses!AW126="Sering",3,IF(Responses!AW126="Kadang - Kadang",2,IF(Responses!AW126="Jarang",1,0)))))</f>
        <v>1</v>
      </c>
      <c r="Y126" s="20">
        <f t="shared" si="6"/>
        <v>18</v>
      </c>
      <c r="Z126" s="22" t="str">
        <f t="shared" si="7"/>
        <v>Tidak/Sedikit Kecanduan</v>
      </c>
    </row>
    <row r="127" spans="1:26" x14ac:dyDescent="0.3">
      <c r="A127" s="19" t="str">
        <f>Responses!A127</f>
        <v>Gepxgbz</v>
      </c>
      <c r="B127" s="19" t="str">
        <f>Responses!B127</f>
        <v>zxWENP0</v>
      </c>
      <c r="C127" s="19">
        <f>Responses!C127</f>
        <v>46136.155532407407</v>
      </c>
      <c r="D127" s="19" t="str">
        <f>Responses!D127</f>
        <v>Safira Rahma Rajabiya</v>
      </c>
      <c r="E127" s="19" t="str">
        <f>Responses!E127</f>
        <v>XI-2</v>
      </c>
      <c r="F127" s="19">
        <f>Responses!F127</f>
        <v>16</v>
      </c>
      <c r="G127" s="8">
        <f>IF(Responses!AF127="","",IF(Responses!AF127="Selalu",4,IF(Responses!AF127="Sering",3,IF(Responses!AF127="Kadang - Kadang",2,IF(Responses!AF127="Jarang",1,0)))))</f>
        <v>3</v>
      </c>
      <c r="H127" s="8">
        <f>IF(Responses!AG127="","",IF(Responses!AG127="Selalu",4,IF(Responses!AG127="Sering",3,IF(Responses!AG127="Kadang - Kadang",2,IF(Responses!AG127="Jarang",1,0)))))</f>
        <v>2</v>
      </c>
      <c r="I127" s="8">
        <f>IF(Responses!AH127="","",IF(Responses!AH127="Selalu",4,IF(Responses!AH127="Sering",3,IF(Responses!AH127="Kadang - Kadang",2,IF(Responses!AH127="Jarang",1,0)))))</f>
        <v>3</v>
      </c>
      <c r="J127" s="8">
        <f>IF(Responses!AI127="","",IF(Responses!AI127="Selalu",4,IF(Responses!AI127="Sering",3,IF(Responses!AI127="Kadang - Kadang",2,IF(Responses!AI127="Jarang",1,0)))))</f>
        <v>1</v>
      </c>
      <c r="K127" s="8">
        <f>IF(Responses!AJ127="","",IF(Responses!AJ127="Selalu",4,IF(Responses!AJ127="Sering",3,IF(Responses!AJ127="Kadang - Kadang",2,IF(Responses!AJ127="Jarang",1,0)))))</f>
        <v>2</v>
      </c>
      <c r="L127" s="8">
        <f>IF(Responses!AK127="","",IF(Responses!AK127="Selalu",4,IF(Responses!AK127="Sering",3,IF(Responses!AK127="Kadang - Kadang",2,IF(Responses!AK127="Jarang",1,0)))))</f>
        <v>1</v>
      </c>
      <c r="M127" s="8">
        <f>IF(Responses!AL127="","",IF(Responses!AL127="Selalu",4,IF(Responses!AL127="Sering",3,IF(Responses!AL127="Kadang - Kadang",2,IF(Responses!AL127="Jarang",1,0)))))</f>
        <v>3</v>
      </c>
      <c r="N127" s="8">
        <f>IF(Responses!AM127="","",IF(Responses!AM127="Selalu",4,IF(Responses!AM127="Sering",3,IF(Responses!AM127="Kadang - Kadang",2,IF(Responses!AM127="Jarang",1,0)))))</f>
        <v>3</v>
      </c>
      <c r="O127" s="8">
        <f>IF(Responses!AN127="","",IF(Responses!AN127="Selalu",4,IF(Responses!AN127="Sering",3,IF(Responses!AN127="Kadang - Kadang",2,IF(Responses!AN127="Jarang",1,0)))))</f>
        <v>0</v>
      </c>
      <c r="P127" s="8">
        <f>IF(Responses!AO127="","",IF(Responses!AO127="Selalu",4,IF(Responses!AO127="Sering",3,IF(Responses!AO127="Kadang - Kadang",2,IF(Responses!AO127="Jarang",1,0)))))</f>
        <v>2</v>
      </c>
      <c r="Q127" s="8">
        <f>IF(Responses!AP127="","",IF(Responses!AP127="Selalu",4,IF(Responses!AP127="Sering",3,IF(Responses!AP127="Kadang - Kadang",2,IF(Responses!AP127="Jarang",1,0)))))</f>
        <v>1</v>
      </c>
      <c r="R127" s="8">
        <f>IF(Responses!AQ127="","",IF(Responses!AQ127="Selalu",4,IF(Responses!AQ127="Sering",3,IF(Responses!AQ127="Kadang - Kadang",2,IF(Responses!AQ127="Jarang",1,0)))))</f>
        <v>2</v>
      </c>
      <c r="S127" s="8">
        <f>IF(Responses!AR127="","",IF(Responses!AR127="Selalu",4,IF(Responses!AR127="Sering",3,IF(Responses!AR127="Kadang - Kadang",2,IF(Responses!AR127="Jarang",1,0)))))</f>
        <v>3</v>
      </c>
      <c r="T127" s="8">
        <f>IF(Responses!AS127="","",IF(Responses!AS127="Selalu",4,IF(Responses!AS127="Sering",3,IF(Responses!AS127="Kadang - Kadang",2,IF(Responses!AS127="Jarang",1,0)))))</f>
        <v>1</v>
      </c>
      <c r="U127" s="8">
        <f>IF(Responses!AT127="","",IF(Responses!AT127="Selalu",4,IF(Responses!AT127="Sering",3,IF(Responses!AT127="Kadang - Kadang",2,IF(Responses!AT127="Jarang",1,0)))))</f>
        <v>0</v>
      </c>
      <c r="V127" s="8">
        <f>IF(Responses!AU127="","",IF(Responses!AU127="Selalu",4,IF(Responses!AU127="Sering",3,IF(Responses!AU127="Kadang - Kadang",2,IF(Responses!AU127="Jarang",1,0)))))</f>
        <v>2</v>
      </c>
      <c r="W127" s="8">
        <f>IF(Responses!AV127="","",IF(Responses!AV127="Selalu",4,IF(Responses!AV127="Sering",3,IF(Responses!AV127="Kadang - Kadang",2,IF(Responses!AV127="Jarang",1,0)))))</f>
        <v>1</v>
      </c>
      <c r="X127" s="8">
        <f>IF(Responses!AW127="","",IF(Responses!AW127="Selalu",4,IF(Responses!AW127="Sering",3,IF(Responses!AW127="Kadang - Kadang",2,IF(Responses!AW127="Jarang",1,0)))))</f>
        <v>1</v>
      </c>
      <c r="Y127" s="20">
        <f t="shared" si="6"/>
        <v>31</v>
      </c>
      <c r="Z127" s="22" t="str">
        <f t="shared" si="7"/>
        <v>Kecanduan Borderline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topLeftCell="A15" workbookViewId="0">
      <selection sqref="A1:F1"/>
    </sheetView>
  </sheetViews>
  <sheetFormatPr defaultRowHeight="14.4" x14ac:dyDescent="0.3"/>
  <cols>
    <col min="1" max="6" width="24" style="41" customWidth="1"/>
  </cols>
  <sheetData>
    <row r="1" spans="1:6" ht="31.95" customHeight="1" x14ac:dyDescent="0.3">
      <c r="A1" s="48" t="s">
        <v>494</v>
      </c>
      <c r="B1" s="46"/>
      <c r="C1" s="46"/>
      <c r="D1" s="46"/>
      <c r="E1" s="46"/>
      <c r="F1" s="46"/>
    </row>
    <row r="3" spans="1:6" ht="19.95" customHeight="1" x14ac:dyDescent="0.3">
      <c r="A3" s="45" t="s">
        <v>495</v>
      </c>
      <c r="B3" s="46"/>
      <c r="C3" s="46"/>
      <c r="D3" s="46"/>
      <c r="E3" s="46"/>
      <c r="F3" s="46"/>
    </row>
    <row r="4" spans="1:6" ht="18" customHeight="1" x14ac:dyDescent="0.3">
      <c r="A4" s="23" t="s">
        <v>496</v>
      </c>
      <c r="B4" s="23" t="s">
        <v>497</v>
      </c>
      <c r="C4" s="23" t="s">
        <v>498</v>
      </c>
      <c r="D4" s="23" t="s">
        <v>499</v>
      </c>
      <c r="E4" s="23" t="s">
        <v>500</v>
      </c>
    </row>
    <row r="5" spans="1:6" ht="19.95" customHeight="1" x14ac:dyDescent="0.3">
      <c r="A5" s="24" t="s">
        <v>501</v>
      </c>
      <c r="B5" s="25" t="s">
        <v>502</v>
      </c>
      <c r="C5" s="26" t="s">
        <v>503</v>
      </c>
      <c r="D5" s="27" t="s">
        <v>504</v>
      </c>
      <c r="E5" s="28" t="s">
        <v>505</v>
      </c>
    </row>
    <row r="6" spans="1:6" ht="19.95" customHeight="1" x14ac:dyDescent="0.3">
      <c r="A6" s="29" t="s">
        <v>506</v>
      </c>
      <c r="B6" s="25" t="s">
        <v>507</v>
      </c>
      <c r="C6" s="26" t="s">
        <v>508</v>
      </c>
      <c r="D6" s="27" t="s">
        <v>509</v>
      </c>
      <c r="E6" s="30" t="s">
        <v>505</v>
      </c>
    </row>
    <row r="7" spans="1:6" ht="19.95" customHeight="1" x14ac:dyDescent="0.3">
      <c r="A7" s="31" t="s">
        <v>510</v>
      </c>
      <c r="B7" s="25" t="s">
        <v>502</v>
      </c>
      <c r="C7" s="26" t="s">
        <v>503</v>
      </c>
      <c r="D7" s="27" t="s">
        <v>504</v>
      </c>
      <c r="E7" s="28" t="s">
        <v>505</v>
      </c>
    </row>
    <row r="8" spans="1:6" ht="19.95" customHeight="1" x14ac:dyDescent="0.3">
      <c r="A8" s="32" t="s">
        <v>511</v>
      </c>
      <c r="B8" s="25" t="s">
        <v>507</v>
      </c>
      <c r="C8" s="26" t="s">
        <v>512</v>
      </c>
      <c r="D8" s="27" t="s">
        <v>513</v>
      </c>
      <c r="E8" s="30" t="s">
        <v>505</v>
      </c>
    </row>
    <row r="9" spans="1:6" ht="19.95" customHeight="1" x14ac:dyDescent="0.3">
      <c r="A9" s="33" t="s">
        <v>514</v>
      </c>
      <c r="B9" s="25" t="s">
        <v>515</v>
      </c>
      <c r="C9" s="26" t="s">
        <v>516</v>
      </c>
      <c r="D9" s="27" t="s">
        <v>517</v>
      </c>
      <c r="E9" s="28" t="s">
        <v>518</v>
      </c>
    </row>
    <row r="11" spans="1:6" ht="19.95" customHeight="1" x14ac:dyDescent="0.3">
      <c r="A11" s="45" t="s">
        <v>519</v>
      </c>
      <c r="B11" s="46"/>
      <c r="C11" s="46"/>
      <c r="D11" s="46"/>
      <c r="E11" s="46"/>
      <c r="F11" s="46"/>
    </row>
    <row r="12" spans="1:6" ht="18" customHeight="1" x14ac:dyDescent="0.3">
      <c r="A12" s="23" t="s">
        <v>520</v>
      </c>
      <c r="B12" s="23" t="s">
        <v>521</v>
      </c>
      <c r="C12" s="23" t="s">
        <v>522</v>
      </c>
    </row>
    <row r="13" spans="1:6" ht="19.95" customHeight="1" x14ac:dyDescent="0.3">
      <c r="A13" s="34" t="s">
        <v>497</v>
      </c>
      <c r="B13" s="34" t="s">
        <v>523</v>
      </c>
      <c r="C13" s="42" t="s">
        <v>524</v>
      </c>
      <c r="D13" s="43"/>
      <c r="E13" s="43"/>
      <c r="F13" s="44"/>
    </row>
    <row r="14" spans="1:6" ht="19.95" customHeight="1" x14ac:dyDescent="0.3">
      <c r="A14" s="35" t="s">
        <v>498</v>
      </c>
      <c r="B14" s="35" t="s">
        <v>525</v>
      </c>
      <c r="C14" s="42" t="s">
        <v>526</v>
      </c>
      <c r="D14" s="43"/>
      <c r="E14" s="43"/>
      <c r="F14" s="44"/>
    </row>
    <row r="15" spans="1:6" ht="19.95" customHeight="1" x14ac:dyDescent="0.3">
      <c r="A15" s="36" t="s">
        <v>499</v>
      </c>
      <c r="B15" s="36" t="s">
        <v>527</v>
      </c>
      <c r="C15" s="42" t="s">
        <v>528</v>
      </c>
      <c r="D15" s="43"/>
      <c r="E15" s="43"/>
      <c r="F15" s="44"/>
    </row>
    <row r="17" spans="1:6" ht="19.95" customHeight="1" x14ac:dyDescent="0.3">
      <c r="A17" s="47" t="s">
        <v>529</v>
      </c>
      <c r="B17" s="46"/>
      <c r="C17" s="46"/>
      <c r="D17" s="46"/>
      <c r="E17" s="46"/>
      <c r="F17" s="46"/>
    </row>
    <row r="18" spans="1:6" ht="18" customHeight="1" x14ac:dyDescent="0.3">
      <c r="A18" s="37" t="s">
        <v>520</v>
      </c>
      <c r="B18" s="37" t="s">
        <v>521</v>
      </c>
      <c r="C18" s="37" t="s">
        <v>522</v>
      </c>
    </row>
    <row r="19" spans="1:6" ht="19.95" customHeight="1" x14ac:dyDescent="0.3">
      <c r="A19" s="34" t="s">
        <v>530</v>
      </c>
      <c r="B19" s="34" t="s">
        <v>531</v>
      </c>
      <c r="C19" s="42" t="s">
        <v>532</v>
      </c>
      <c r="D19" s="43"/>
      <c r="E19" s="43"/>
      <c r="F19" s="44"/>
    </row>
    <row r="20" spans="1:6" ht="19.95" customHeight="1" x14ac:dyDescent="0.3">
      <c r="A20" s="35" t="s">
        <v>533</v>
      </c>
      <c r="B20" s="35" t="s">
        <v>534</v>
      </c>
      <c r="C20" s="42" t="s">
        <v>535</v>
      </c>
      <c r="D20" s="43"/>
      <c r="E20" s="43"/>
      <c r="F20" s="44"/>
    </row>
    <row r="21" spans="1:6" ht="19.95" customHeight="1" x14ac:dyDescent="0.3">
      <c r="A21" s="38" t="s">
        <v>536</v>
      </c>
      <c r="B21" s="38" t="s">
        <v>537</v>
      </c>
      <c r="C21" s="42" t="s">
        <v>538</v>
      </c>
      <c r="D21" s="43"/>
      <c r="E21" s="43"/>
      <c r="F21" s="44"/>
    </row>
    <row r="22" spans="1:6" ht="19.95" customHeight="1" x14ac:dyDescent="0.3">
      <c r="A22" s="39" t="s">
        <v>539</v>
      </c>
      <c r="B22" s="39" t="s">
        <v>540</v>
      </c>
      <c r="C22" s="42" t="s">
        <v>541</v>
      </c>
      <c r="D22" s="43"/>
      <c r="E22" s="43"/>
      <c r="F22" s="44"/>
    </row>
    <row r="24" spans="1:6" ht="19.95" customHeight="1" x14ac:dyDescent="0.3">
      <c r="A24" s="47" t="s">
        <v>542</v>
      </c>
      <c r="B24" s="46"/>
      <c r="C24" s="46"/>
      <c r="D24" s="46"/>
      <c r="E24" s="46"/>
      <c r="F24" s="46"/>
    </row>
    <row r="25" spans="1:6" ht="19.95" customHeight="1" x14ac:dyDescent="0.3">
      <c r="A25" s="40" t="s">
        <v>543</v>
      </c>
      <c r="B25" s="40" t="s">
        <v>544</v>
      </c>
      <c r="C25" s="40" t="s">
        <v>545</v>
      </c>
      <c r="D25" s="40" t="s">
        <v>546</v>
      </c>
      <c r="E25" s="40" t="s">
        <v>547</v>
      </c>
    </row>
  </sheetData>
  <mergeCells count="12">
    <mergeCell ref="C13:F13"/>
    <mergeCell ref="C22:F22"/>
    <mergeCell ref="A11:F11"/>
    <mergeCell ref="A24:F24"/>
    <mergeCell ref="A1:F1"/>
    <mergeCell ref="C20:F20"/>
    <mergeCell ref="C21:F21"/>
    <mergeCell ref="C15:F15"/>
    <mergeCell ref="A17:F17"/>
    <mergeCell ref="A3:F3"/>
    <mergeCell ref="C19:F19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Responses</vt:lpstr>
      <vt:lpstr>SDQ_Scores</vt:lpstr>
      <vt:lpstr>IAA_Scores</vt:lpstr>
      <vt:lpstr>Cutoff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Aloysius Yoga</cp:lastModifiedBy>
  <dcterms:created xsi:type="dcterms:W3CDTF">2026-04-27T02:58:30Z</dcterms:created>
  <dcterms:modified xsi:type="dcterms:W3CDTF">2026-04-29T14:41:35Z</dcterms:modified>
</cp:coreProperties>
</file>